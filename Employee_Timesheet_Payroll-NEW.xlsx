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fbb6b1444a49f29/Documents/"/>
    </mc:Choice>
  </mc:AlternateContent>
  <xr:revisionPtr revIDLastSave="0" documentId="14_{0A9F68A1-0F84-4112-AAC3-70B0B8A0F7DA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Timesheet" sheetId="1" r:id="rId1"/>
    <sheet name="Payroll Calculator" sheetId="2" r:id="rId2"/>
    <sheet name="Salary Slip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8" i="2" s="1"/>
  <c r="C26" i="1"/>
  <c r="D7" i="2" s="1"/>
  <c r="C25" i="1"/>
  <c r="D6" i="2" s="1"/>
  <c r="C24" i="1"/>
  <c r="D5" i="2" s="1"/>
  <c r="E7" i="3" s="1"/>
  <c r="G19" i="1"/>
  <c r="G18" i="1"/>
  <c r="G17" i="1"/>
  <c r="G16" i="1"/>
  <c r="G15" i="1"/>
  <c r="G14" i="1"/>
  <c r="G13" i="1"/>
  <c r="G12" i="1"/>
  <c r="G11" i="1"/>
  <c r="K10" i="1"/>
  <c r="J10" i="1"/>
  <c r="N10" i="1" s="1"/>
  <c r="G10" i="1"/>
  <c r="G9" i="1"/>
  <c r="G8" i="1"/>
  <c r="G7" i="1"/>
  <c r="G6" i="1"/>
  <c r="G5" i="1"/>
  <c r="K19" i="1" l="1"/>
  <c r="J19" i="1"/>
  <c r="N19" i="1" s="1"/>
  <c r="I19" i="1"/>
  <c r="H19" i="1"/>
  <c r="M19" i="1" s="1"/>
  <c r="K18" i="1"/>
  <c r="I18" i="1"/>
  <c r="H18" i="1"/>
  <c r="M18" i="1" s="1"/>
  <c r="J18" i="1"/>
  <c r="N18" i="1" s="1"/>
  <c r="K17" i="1"/>
  <c r="J17" i="1"/>
  <c r="N17" i="1" s="1"/>
  <c r="H17" i="1"/>
  <c r="M17" i="1" s="1"/>
  <c r="I17" i="1"/>
  <c r="K16" i="1"/>
  <c r="H16" i="1"/>
  <c r="M16" i="1" s="1"/>
  <c r="I16" i="1"/>
  <c r="J16" i="1"/>
  <c r="N16" i="1" s="1"/>
  <c r="K15" i="1"/>
  <c r="I15" i="1"/>
  <c r="H15" i="1"/>
  <c r="M15" i="1" s="1"/>
  <c r="J15" i="1"/>
  <c r="N15" i="1" s="1"/>
  <c r="J14" i="1"/>
  <c r="N14" i="1" s="1"/>
  <c r="H14" i="1"/>
  <c r="M14" i="1" s="1"/>
  <c r="I14" i="1"/>
  <c r="K14" i="1"/>
  <c r="H13" i="1"/>
  <c r="M13" i="1" s="1"/>
  <c r="I13" i="1"/>
  <c r="J13" i="1"/>
  <c r="K13" i="1"/>
  <c r="K12" i="1"/>
  <c r="J12" i="1"/>
  <c r="N12" i="1" s="1"/>
  <c r="I12" i="1"/>
  <c r="H12" i="1"/>
  <c r="M12" i="1" s="1"/>
  <c r="K11" i="1"/>
  <c r="J11" i="1"/>
  <c r="N11" i="1" s="1"/>
  <c r="I11" i="1"/>
  <c r="H11" i="1"/>
  <c r="M11" i="1" s="1"/>
  <c r="I10" i="1"/>
  <c r="H10" i="1"/>
  <c r="M10" i="1" s="1"/>
  <c r="J9" i="1"/>
  <c r="N9" i="1" s="1"/>
  <c r="I9" i="1"/>
  <c r="H9" i="1"/>
  <c r="M9" i="1" s="1"/>
  <c r="K9" i="1"/>
  <c r="K8" i="1"/>
  <c r="J8" i="1"/>
  <c r="N8" i="1" s="1"/>
  <c r="I8" i="1"/>
  <c r="H8" i="1"/>
  <c r="M8" i="1" s="1"/>
  <c r="K7" i="1"/>
  <c r="I7" i="1"/>
  <c r="H7" i="1"/>
  <c r="M7" i="1" s="1"/>
  <c r="J7" i="1"/>
  <c r="K6" i="1"/>
  <c r="J6" i="1"/>
  <c r="I6" i="1"/>
  <c r="H6" i="1"/>
  <c r="M6" i="1" s="1"/>
  <c r="J5" i="1"/>
  <c r="I5" i="1"/>
  <c r="H5" i="1"/>
  <c r="M5" i="1" s="1"/>
  <c r="K5" i="1"/>
  <c r="N13" i="1" l="1"/>
  <c r="J27" i="1" s="1"/>
  <c r="F8" i="2" s="1"/>
  <c r="H27" i="1"/>
  <c r="N7" i="1"/>
  <c r="J26" i="1" s="1"/>
  <c r="F7" i="2" s="1"/>
  <c r="H26" i="1"/>
  <c r="N6" i="1"/>
  <c r="J25" i="1" s="1"/>
  <c r="F6" i="2" s="1"/>
  <c r="H25" i="1"/>
  <c r="N5" i="1"/>
  <c r="J24" i="1" s="1"/>
  <c r="F5" i="2" s="1"/>
  <c r="H24" i="1"/>
  <c r="D26" i="1"/>
  <c r="D24" i="1"/>
  <c r="D27" i="1"/>
  <c r="I27" i="1"/>
  <c r="I26" i="1"/>
  <c r="D25" i="1"/>
  <c r="I25" i="1"/>
  <c r="I24" i="1"/>
  <c r="F9" i="2" l="1"/>
  <c r="C14" i="3"/>
  <c r="K26" i="1"/>
  <c r="H7" i="2" s="1"/>
  <c r="F26" i="1"/>
  <c r="G26" i="1" s="1"/>
  <c r="K24" i="1"/>
  <c r="H5" i="2" s="1"/>
  <c r="F24" i="1"/>
  <c r="G24" i="1" s="1"/>
  <c r="K27" i="1"/>
  <c r="H8" i="2" s="1"/>
  <c r="F27" i="1"/>
  <c r="G27" i="1" s="1"/>
  <c r="E8" i="2"/>
  <c r="E7" i="2"/>
  <c r="K25" i="1"/>
  <c r="H6" i="2" s="1"/>
  <c r="F25" i="1"/>
  <c r="G25" i="1" s="1"/>
  <c r="E6" i="2"/>
  <c r="E5" i="2"/>
  <c r="H9" i="2" l="1"/>
  <c r="B19" i="3"/>
  <c r="C13" i="3"/>
  <c r="C17" i="3" s="1"/>
  <c r="E9" i="2"/>
  <c r="G7" i="2"/>
  <c r="I7" i="2" s="1"/>
  <c r="J7" i="2" s="1"/>
  <c r="L26" i="1"/>
  <c r="G5" i="2"/>
  <c r="L24" i="1"/>
  <c r="G8" i="2"/>
  <c r="L27" i="1"/>
  <c r="G6" i="2"/>
  <c r="L25" i="1"/>
  <c r="I5" i="2" l="1"/>
  <c r="I8" i="2"/>
  <c r="J8" i="2" s="1"/>
  <c r="I6" i="2"/>
  <c r="J6" i="2" s="1"/>
  <c r="E14" i="3"/>
  <c r="E13" i="3"/>
  <c r="G9" i="2"/>
  <c r="J5" i="2" l="1"/>
  <c r="I9" i="2"/>
  <c r="B21" i="3"/>
  <c r="J9" i="2"/>
  <c r="E17" i="3"/>
</calcChain>
</file>

<file path=xl/sharedStrings.xml><?xml version="1.0" encoding="utf-8"?>
<sst xmlns="http://schemas.openxmlformats.org/spreadsheetml/2006/main" count="207" uniqueCount="118">
  <si>
    <t>🕐  EMPLOYEE TIMESHEET &amp; PAYROLL CALCULATOR  |  2-Hour Monthly Buffer Enabled</t>
  </si>
  <si>
    <t>Normal Hours: 8/day  |  OT Rate: 1.5×  |  Monthly Short-Hour Buffer: 2 hrs (no deduction)</t>
  </si>
  <si>
    <t>Emp ID</t>
  </si>
  <si>
    <t>Employee Name</t>
  </si>
  <si>
    <t>Department</t>
  </si>
  <si>
    <t>Date</t>
  </si>
  <si>
    <t>In Time</t>
  </si>
  <si>
    <t>Out Time</t>
  </si>
  <si>
    <t>Total Hrs</t>
  </si>
  <si>
    <t>Normal Hrs</t>
  </si>
  <si>
    <t>Short Hrs
(Deficit)</t>
  </si>
  <si>
    <t>OT Hours</t>
  </si>
  <si>
    <t>Status</t>
  </si>
  <si>
    <t>Daily Rate ₹</t>
  </si>
  <si>
    <t>Daily Pay ₹</t>
  </si>
  <si>
    <t>OT Pay ₹</t>
  </si>
  <si>
    <t>E101</t>
  </si>
  <si>
    <t>Rahul Sharma</t>
  </si>
  <si>
    <t>IT</t>
  </si>
  <si>
    <t>01-May-26</t>
  </si>
  <si>
    <t>09:00</t>
  </si>
  <si>
    <t>18:30</t>
  </si>
  <si>
    <t>E102</t>
  </si>
  <si>
    <t>Priya Patel</t>
  </si>
  <si>
    <t>HR</t>
  </si>
  <si>
    <t>02-May-26</t>
  </si>
  <si>
    <t>08:30</t>
  </si>
  <si>
    <t>17:00</t>
  </si>
  <si>
    <t>E103</t>
  </si>
  <si>
    <t>Arun Kumar</t>
  </si>
  <si>
    <t>Finance</t>
  </si>
  <si>
    <t>09:15</t>
  </si>
  <si>
    <t>19:00</t>
  </si>
  <si>
    <t>03-May-26</t>
  </si>
  <si>
    <t>08:45</t>
  </si>
  <si>
    <t>17:30</t>
  </si>
  <si>
    <t>18:00</t>
  </si>
  <si>
    <t>E104</t>
  </si>
  <si>
    <t>Sneha Reddy</t>
  </si>
  <si>
    <t>08:00</t>
  </si>
  <si>
    <t>05-May-26</t>
  </si>
  <si>
    <t>09:30</t>
  </si>
  <si>
    <t>17:45</t>
  </si>
  <si>
    <t>08:15</t>
  </si>
  <si>
    <t>20:00</t>
  </si>
  <si>
    <t>06-May-26</t>
  </si>
  <si>
    <t>18:15</t>
  </si>
  <si>
    <t>07-May-26</t>
  </si>
  <si>
    <t>08-May-26</t>
  </si>
  <si>
    <t>09-May-26</t>
  </si>
  <si>
    <t>📊  EMPLOYEE MONTHLY SUMMARY  —  2-Hour Buffer Applied</t>
  </si>
  <si>
    <t>Name</t>
  </si>
  <si>
    <t>Days Worked
(COUNTIF)</t>
  </si>
  <si>
    <t>Total Short Hrs
(SUMIF)</t>
  </si>
  <si>
    <t>Buffer
(2 hrs)</t>
  </si>
  <si>
    <t>Deductible
Short Hrs</t>
  </si>
  <si>
    <t>Deduction ₹
(Short Hrs)</t>
  </si>
  <si>
    <t>Total OT Hrs
(SUMIF)</t>
  </si>
  <si>
    <t>Gross Pay ₹
(SUMIF)</t>
  </si>
  <si>
    <t>OT Pay ₹
(SUMIF)</t>
  </si>
  <si>
    <t>Buffer
Saving ₹</t>
  </si>
  <si>
    <t>Net Pay ₹</t>
  </si>
  <si>
    <t>2.00</t>
  </si>
  <si>
    <t>ℹ️  BUFFER RULE:  Each employee gets 2 hrs/month grace.  Short hrs ≤ 2 → No deduction.  Short hrs &gt; 2 → Only excess hours are deducted from salary.</t>
  </si>
  <si>
    <t>💰  MONTHLY PAYROLL CALCULATOR  —  2-Hour Buffer Rule Active</t>
  </si>
  <si>
    <t>Payroll Period: May 2026  |  Buffer: 2 hrs/employee/month  |  PF Deduction: 10%</t>
  </si>
  <si>
    <t>Dept</t>
  </si>
  <si>
    <t>Days
Worked</t>
  </si>
  <si>
    <t>Gross Pay ₹</t>
  </si>
  <si>
    <t>Short Hr
Deduction ₹</t>
  </si>
  <si>
    <t>PF (10%) ₹</t>
  </si>
  <si>
    <t>Net Salary ₹</t>
  </si>
  <si>
    <t>TOTAL</t>
  </si>
  <si>
    <t>⚙  HOW THE 2-HOUR BUFFER WORKS</t>
  </si>
  <si>
    <t>Rule</t>
  </si>
  <si>
    <t>Each employee gets a 2-hour monthly buffer for short working days</t>
  </si>
  <si>
    <t>If Short Hrs ≤ 2 hrs</t>
  </si>
  <si>
    <t>→  No salary deduction at all  ✅</t>
  </si>
  <si>
    <t>If Short Hrs &gt; 2 hrs</t>
  </si>
  <si>
    <t>→  Only the EXCESS hours (beyond 2) are deducted  ⚠</t>
  </si>
  <si>
    <t>Example</t>
  </si>
  <si>
    <t>Worked 7 hrs on 1 day (1 hr short) → within buffer → Full pay</t>
  </si>
  <si>
    <t>Worked 6 hrs on 1 day + 6.5 hrs another (2.5 hrs short total) → 0.5 hrs deducted</t>
  </si>
  <si>
    <t>Buffer Saving ₹</t>
  </si>
  <si>
    <t>Shows how much money was SAVED for the employee due to the buffer</t>
  </si>
  <si>
    <t>🏢   COMPANY NAME PVT. LTD.</t>
  </si>
  <si>
    <t>SALARY SLIP  |  Month: May 2026</t>
  </si>
  <si>
    <t>ℹ️  Change the Emp ID in cell C5 to auto-load that employee's payroll data</t>
  </si>
  <si>
    <t>Employee ID</t>
  </si>
  <si>
    <t>Designation</t>
  </si>
  <si>
    <t>Software Engineer</t>
  </si>
  <si>
    <t>Pay Period</t>
  </si>
  <si>
    <t>May 2026</t>
  </si>
  <si>
    <t>Working Days</t>
  </si>
  <si>
    <t>Bank Account</t>
  </si>
  <si>
    <t>XXXX-XXXX-1234</t>
  </si>
  <si>
    <t>IFSC Code</t>
  </si>
  <si>
    <t>SBIN0001234</t>
  </si>
  <si>
    <t>Payment Mode</t>
  </si>
  <si>
    <t>Bank Transfer</t>
  </si>
  <si>
    <t>PF Account</t>
  </si>
  <si>
    <t>KA/BNG/12345</t>
  </si>
  <si>
    <t>EARNINGS</t>
  </si>
  <si>
    <t>DEDUCTIONS</t>
  </si>
  <si>
    <t>Component</t>
  </si>
  <si>
    <t>Amount (₹)</t>
  </si>
  <si>
    <t>Basic / Daily Pay</t>
  </si>
  <si>
    <t>Short Hr Deduction</t>
  </si>
  <si>
    <t>Overtime Pay</t>
  </si>
  <si>
    <t>Provident Fund (PF)</t>
  </si>
  <si>
    <t>Attendance Bonus</t>
  </si>
  <si>
    <t>Professional Tax</t>
  </si>
  <si>
    <t>Gross Earnings</t>
  </si>
  <si>
    <t>Total Deductions</t>
  </si>
  <si>
    <t>Employee Signature</t>
  </si>
  <si>
    <t>Authorized Signatory</t>
  </si>
  <si>
    <t>This is a computer-generated payslip. The 2-hour monthly buffer has been applied as per company policy.</t>
  </si>
  <si>
    <t>ARUN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</si>
</sst>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\₹#,##0.00"/>
  </numFmts>
  <fonts count="2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i/>
      <sz val="9"/>
      <color rgb="FF7F6000"/>
      <name val="Arial"/>
      <charset val="1"/>
    </font>
    <font>
      <b/>
      <sz val="10"/>
      <color rgb="FF375623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8"/>
      <color rgb="FFFFFFFF"/>
      <name val="Arial"/>
    </font>
    <font>
      <b/>
      <i/>
      <sz val="11"/>
      <color rgb="FFFFFFFF"/>
      <name val="Arial"/>
    </font>
    <font>
      <i/>
      <sz val="9"/>
      <color rgb="FF7F6000"/>
      <name val="Arial"/>
    </font>
    <font>
      <b/>
      <sz val="10"/>
      <color rgb="FF000000"/>
      <name val="Arial"/>
    </font>
    <font>
      <b/>
      <sz val="11"/>
      <color rgb="FF0000FF"/>
      <name val="Arial"/>
    </font>
    <font>
      <sz val="10"/>
      <color rgb="FF000000"/>
      <name val="Arial"/>
    </font>
    <font>
      <sz val="10"/>
      <color rgb="FF145A32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922B21"/>
      <name val="Arial"/>
    </font>
    <font>
      <b/>
      <sz val="11"/>
      <color rgb="FFFFFFFF"/>
      <name val="Arial"/>
    </font>
    <font>
      <b/>
      <sz val="10"/>
      <color rgb="FF7F6000"/>
      <name val="Arial"/>
    </font>
    <font>
      <b/>
      <sz val="16"/>
      <color rgb="FFFFFFFF"/>
      <name val="Arial"/>
    </font>
    <font>
      <sz val="10"/>
      <color rgb="FF808080"/>
      <name val="Arial"/>
    </font>
    <font>
      <i/>
      <sz val="8"/>
      <color rgb="FFA0A0A0"/>
      <name val="Arial"/>
    </font>
  </fonts>
  <fills count="24">
    <fill>
      <patternFill patternType="none"/>
    </fill>
    <fill>
      <patternFill patternType="gray125"/>
    </fill>
    <fill>
      <patternFill patternType="solid">
        <fgColor rgb="FF1F4E79"/>
        <bgColor rgb="FF145A32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6EAF8"/>
      </patternFill>
    </fill>
    <fill>
      <patternFill patternType="solid">
        <fgColor rgb="FFFFF2CC"/>
        <bgColor rgb="FFFFFDE7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E2EFDA"/>
        <bgColor rgb="FFEAFAF1"/>
      </patternFill>
    </fill>
    <fill>
      <patternFill patternType="solid">
        <fgColor rgb="FFFFCCCC"/>
        <bgColor rgb="FFFFF2CC"/>
      </patternFill>
    </fill>
    <fill>
      <patternFill patternType="solid">
        <fgColor rgb="FF145A32"/>
        <bgColor rgb="FF375623"/>
      </patternFill>
    </fill>
    <fill>
      <patternFill patternType="solid">
        <fgColor rgb="FF1E8449"/>
        <bgColor rgb="FF008080"/>
      </patternFill>
    </fill>
    <fill>
      <patternFill patternType="solid">
        <fgColor rgb="FFEAFAF1"/>
        <bgColor rgb="FFEBF5FB"/>
      </patternFill>
    </fill>
    <fill>
      <patternFill patternType="solid">
        <fgColor rgb="FFD6EAF8"/>
        <bgColor rgb="FFD6E4F0"/>
      </patternFill>
    </fill>
    <fill>
      <patternFill patternType="solid">
        <fgColor rgb="FFEBF5FB"/>
        <bgColor rgb="FFEAFAF1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BF5FB"/>
      </patternFill>
    </fill>
    <fill>
      <patternFill patternType="solid">
        <fgColor rgb="FF145A32"/>
      </patternFill>
    </fill>
    <fill>
      <patternFill patternType="solid">
        <fgColor rgb="FF922B21"/>
      </patternFill>
    </fill>
    <fill>
      <patternFill patternType="solid">
        <fgColor rgb="FFA93226"/>
      </patternFill>
    </fill>
    <fill>
      <patternFill patternType="solid">
        <fgColor rgb="FFFDEDEC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165" fontId="4" fillId="12" borderId="1" xfId="0" applyNumberFormat="1" applyFont="1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left" vertical="center" indent="1"/>
    </xf>
    <xf numFmtId="0" fontId="13" fillId="18" borderId="5" xfId="0" applyFont="1" applyFill="1" applyBorder="1" applyAlignment="1">
      <alignment horizontal="left" vertical="center" indent="1"/>
    </xf>
    <xf numFmtId="0" fontId="14" fillId="18" borderId="5" xfId="0" applyFont="1" applyFill="1" applyBorder="1" applyAlignment="1">
      <alignment horizontal="left" vertical="center" indent="1"/>
    </xf>
    <xf numFmtId="0" fontId="15" fillId="18" borderId="5" xfId="0" applyFont="1" applyFill="1" applyBorder="1" applyAlignment="1">
      <alignment horizontal="left" vertical="center" indent="1"/>
    </xf>
    <xf numFmtId="0" fontId="16" fillId="18" borderId="5" xfId="0" applyFont="1" applyFill="1" applyBorder="1" applyAlignment="1">
      <alignment horizontal="left" vertical="center" indent="1"/>
    </xf>
    <xf numFmtId="0" fontId="18" fillId="16" borderId="5" xfId="0" applyFont="1" applyFill="1" applyBorder="1" applyAlignment="1">
      <alignment horizontal="center" vertical="center" wrapText="1"/>
    </xf>
    <xf numFmtId="0" fontId="18" fillId="21" borderId="5" xfId="0" applyFont="1" applyFill="1" applyBorder="1" applyAlignment="1">
      <alignment horizontal="center" vertical="center" wrapText="1"/>
    </xf>
    <xf numFmtId="165" fontId="16" fillId="18" borderId="5" xfId="0" applyNumberFormat="1" applyFont="1" applyFill="1" applyBorder="1" applyAlignment="1">
      <alignment horizontal="right" vertical="center" indent="1"/>
    </xf>
    <xf numFmtId="0" fontId="13" fillId="22" borderId="5" xfId="0" applyFont="1" applyFill="1" applyBorder="1" applyAlignment="1">
      <alignment horizontal="left" vertical="center" indent="1"/>
    </xf>
    <xf numFmtId="165" fontId="19" fillId="22" borderId="5" xfId="0" applyNumberFormat="1" applyFont="1" applyFill="1" applyBorder="1" applyAlignment="1">
      <alignment horizontal="right" vertical="center" indent="1"/>
    </xf>
    <xf numFmtId="0" fontId="13" fillId="23" borderId="5" xfId="0" applyFont="1" applyFill="1" applyBorder="1" applyAlignment="1">
      <alignment horizontal="left" vertical="center" indent="1"/>
    </xf>
    <xf numFmtId="165" fontId="16" fillId="23" borderId="5" xfId="0" applyNumberFormat="1" applyFont="1" applyFill="1" applyBorder="1" applyAlignment="1">
      <alignment horizontal="right" vertical="center" indent="1"/>
    </xf>
    <xf numFmtId="165" fontId="19" fillId="23" borderId="5" xfId="0" applyNumberFormat="1" applyFont="1" applyFill="1" applyBorder="1" applyAlignment="1">
      <alignment horizontal="right" vertical="center" indent="1"/>
    </xf>
    <xf numFmtId="0" fontId="15" fillId="23" borderId="5" xfId="0" applyFont="1" applyFill="1" applyBorder="1" applyAlignment="1">
      <alignment horizontal="left" vertical="center" indent="1"/>
    </xf>
    <xf numFmtId="165" fontId="15" fillId="23" borderId="5" xfId="0" applyNumberFormat="1" applyFont="1" applyFill="1" applyBorder="1" applyAlignment="1">
      <alignment horizontal="right" vertical="center" indent="1"/>
    </xf>
    <xf numFmtId="0" fontId="18" fillId="19" borderId="5" xfId="0" applyFont="1" applyFill="1" applyBorder="1" applyAlignment="1">
      <alignment horizontal="left" vertical="center" indent="1"/>
    </xf>
    <xf numFmtId="165" fontId="20" fillId="19" borderId="5" xfId="0" applyNumberFormat="1" applyFont="1" applyFill="1" applyBorder="1" applyAlignment="1">
      <alignment horizontal="right" vertical="center" indent="1"/>
    </xf>
    <xf numFmtId="0" fontId="18" fillId="20" borderId="5" xfId="0" applyFont="1" applyFill="1" applyBorder="1" applyAlignment="1">
      <alignment horizontal="left" vertical="center" indent="1"/>
    </xf>
    <xf numFmtId="165" fontId="20" fillId="20" borderId="5" xfId="0" applyNumberFormat="1" applyFont="1" applyFill="1" applyBorder="1" applyAlignment="1">
      <alignment horizontal="right" vertical="center" indent="1"/>
    </xf>
    <xf numFmtId="0" fontId="6" fillId="5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14" borderId="2" xfId="0" applyFont="1" applyFill="1" applyBorder="1" applyAlignment="1">
      <alignment horizontal="left" vertical="center" indent="1"/>
    </xf>
    <xf numFmtId="0" fontId="0" fillId="0" borderId="3" xfId="0" applyBorder="1"/>
    <xf numFmtId="0" fontId="1" fillId="10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4" xfId="0" applyBorder="1"/>
    <xf numFmtId="0" fontId="8" fillId="2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0" fontId="17" fillId="19" borderId="5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22" fillId="15" borderId="0" xfId="0" applyFont="1" applyFill="1" applyAlignment="1">
      <alignment horizontal="center" vertical="center"/>
    </xf>
    <xf numFmtId="0" fontId="23" fillId="18" borderId="5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21" fillId="17" borderId="5" xfId="0" applyFont="1" applyFill="1" applyBorder="1" applyAlignment="1">
      <alignment horizontal="center" vertical="center"/>
    </xf>
    <xf numFmtId="20" fontId="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DE7"/>
      <rgbColor rgb="FFD6EAF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E2EFDA"/>
      <rgbColor rgb="FFFFF2CC"/>
      <rgbColor rgb="FFEBF5FB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showGridLines="0" tabSelected="1" zoomScaleNormal="100" workbookViewId="0">
      <pane ySplit="4" topLeftCell="A5" activePane="bottomLeft" state="frozen"/>
      <selection pane="bottomLeft" activeCell="F19" sqref="F19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14" customWidth="1"/>
    <col min="4" max="4" width="13" customWidth="1"/>
    <col min="5" max="8" width="10" customWidth="1"/>
    <col min="9" max="9" width="12" customWidth="1"/>
    <col min="10" max="10" width="10" customWidth="1"/>
    <col min="11" max="11" width="12" customWidth="1"/>
    <col min="12" max="13" width="13" customWidth="1"/>
    <col min="14" max="14" width="12" customWidth="1"/>
  </cols>
  <sheetData>
    <row r="1" spans="1:14" ht="33.75" customHeight="1" x14ac:dyDescent="0.35">
      <c r="A1" s="44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19.5" customHeight="1" x14ac:dyDescent="0.35">
      <c r="A2" s="42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6" customHeight="1" x14ac:dyDescent="0.35"/>
    <row r="4" spans="1:14" ht="31.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1.75" customHeight="1" x14ac:dyDescent="0.35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3">
        <f t="shared" ref="G5:G19" si="0">IFERROR(IF(ISNUMBER(F5),(F5-E5)*24,(TIMEVALUE(F5)-TIMEVALUE(E5))*24),"--")</f>
        <v>9.5</v>
      </c>
      <c r="H5" s="3">
        <f t="shared" ref="H5:H19" si="1">IFERROR(IF(G5="--","--",MIN(G5,8)),"--")</f>
        <v>8</v>
      </c>
      <c r="I5" s="4">
        <f t="shared" ref="I5:I19" si="2">IFERROR(IF(G5="--","--",IF(G5&lt;8,8-G5,0)),"--")</f>
        <v>0</v>
      </c>
      <c r="J5" s="3">
        <f t="shared" ref="J5:J19" si="3">IFERROR(IF(G5="--","--",IF(G5&gt;8,G5-8,0)),"--")</f>
        <v>1.5</v>
      </c>
      <c r="K5" s="2" t="str">
        <f t="shared" ref="K5:K19" si="4">IF(G5="--","--",IF(G5&gt;=8,"✅ Present","⚠ Short"))</f>
        <v>✅ Present</v>
      </c>
      <c r="L5" s="5">
        <v>1200</v>
      </c>
      <c r="M5" s="6">
        <f t="shared" ref="M5:M19" si="5">IFERROR(IF(H5="--","--",(H5/8)*L5),"--")</f>
        <v>1200</v>
      </c>
      <c r="N5" s="6">
        <f t="shared" ref="N5:N19" si="6">IFERROR(IF(J5="--","--",J5*(L5/8)*1.5),"--")</f>
        <v>337.5</v>
      </c>
    </row>
    <row r="6" spans="1:14" ht="21.75" customHeight="1" x14ac:dyDescent="0.35">
      <c r="A6" s="7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8">
        <f t="shared" si="0"/>
        <v>8.5</v>
      </c>
      <c r="H6" s="8">
        <f t="shared" si="1"/>
        <v>8</v>
      </c>
      <c r="I6" s="9">
        <f t="shared" si="2"/>
        <v>0</v>
      </c>
      <c r="J6" s="8">
        <f t="shared" si="3"/>
        <v>0.5</v>
      </c>
      <c r="K6" s="7" t="str">
        <f t="shared" si="4"/>
        <v>✅ Present</v>
      </c>
      <c r="L6" s="10">
        <v>950</v>
      </c>
      <c r="M6" s="11">
        <f t="shared" si="5"/>
        <v>950</v>
      </c>
      <c r="N6" s="11">
        <f t="shared" si="6"/>
        <v>89.0625</v>
      </c>
    </row>
    <row r="7" spans="1:14" ht="21.75" customHeight="1" x14ac:dyDescent="0.35">
      <c r="A7" s="2" t="s">
        <v>28</v>
      </c>
      <c r="B7" s="2" t="s">
        <v>29</v>
      </c>
      <c r="C7" s="2" t="s">
        <v>30</v>
      </c>
      <c r="D7" s="2" t="s">
        <v>25</v>
      </c>
      <c r="E7" s="2" t="s">
        <v>31</v>
      </c>
      <c r="F7" s="2" t="s">
        <v>32</v>
      </c>
      <c r="G7" s="3">
        <f t="shared" si="0"/>
        <v>9.7499999999999982</v>
      </c>
      <c r="H7" s="3">
        <f t="shared" si="1"/>
        <v>8</v>
      </c>
      <c r="I7" s="4">
        <f t="shared" si="2"/>
        <v>0</v>
      </c>
      <c r="J7" s="3">
        <f t="shared" si="3"/>
        <v>1.7499999999999982</v>
      </c>
      <c r="K7" s="2" t="str">
        <f t="shared" si="4"/>
        <v>✅ Present</v>
      </c>
      <c r="L7" s="5">
        <v>1100</v>
      </c>
      <c r="M7" s="6">
        <f t="shared" si="5"/>
        <v>1100</v>
      </c>
      <c r="N7" s="6">
        <f t="shared" si="6"/>
        <v>360.9374999999996</v>
      </c>
    </row>
    <row r="8" spans="1:14" ht="21.75" customHeight="1" x14ac:dyDescent="0.35">
      <c r="A8" s="7" t="s">
        <v>16</v>
      </c>
      <c r="B8" s="7" t="s">
        <v>17</v>
      </c>
      <c r="C8" s="7" t="s">
        <v>18</v>
      </c>
      <c r="D8" s="7" t="s">
        <v>33</v>
      </c>
      <c r="E8" s="7" t="s">
        <v>34</v>
      </c>
      <c r="F8" s="7" t="s">
        <v>35</v>
      </c>
      <c r="G8" s="8">
        <f t="shared" si="0"/>
        <v>8.75</v>
      </c>
      <c r="H8" s="8">
        <f t="shared" si="1"/>
        <v>8</v>
      </c>
      <c r="I8" s="9">
        <f t="shared" si="2"/>
        <v>0</v>
      </c>
      <c r="J8" s="8">
        <f t="shared" si="3"/>
        <v>0.75</v>
      </c>
      <c r="K8" s="7" t="str">
        <f t="shared" si="4"/>
        <v>✅ Present</v>
      </c>
      <c r="L8" s="10">
        <v>1200</v>
      </c>
      <c r="M8" s="11">
        <f t="shared" si="5"/>
        <v>1200</v>
      </c>
      <c r="N8" s="11">
        <f t="shared" si="6"/>
        <v>168.75</v>
      </c>
    </row>
    <row r="9" spans="1:14" ht="21.75" customHeight="1" x14ac:dyDescent="0.35">
      <c r="A9" s="2" t="s">
        <v>22</v>
      </c>
      <c r="B9" s="2" t="s">
        <v>23</v>
      </c>
      <c r="C9" s="2" t="s">
        <v>24</v>
      </c>
      <c r="D9" s="2" t="s">
        <v>33</v>
      </c>
      <c r="E9" s="2" t="s">
        <v>20</v>
      </c>
      <c r="F9" s="2" t="s">
        <v>36</v>
      </c>
      <c r="G9" s="3">
        <f t="shared" si="0"/>
        <v>9</v>
      </c>
      <c r="H9" s="3">
        <f t="shared" si="1"/>
        <v>8</v>
      </c>
      <c r="I9" s="4">
        <f t="shared" si="2"/>
        <v>0</v>
      </c>
      <c r="J9" s="3">
        <f t="shared" si="3"/>
        <v>1</v>
      </c>
      <c r="K9" s="2" t="str">
        <f t="shared" si="4"/>
        <v>✅ Present</v>
      </c>
      <c r="L9" s="5">
        <v>950</v>
      </c>
      <c r="M9" s="6">
        <f t="shared" si="5"/>
        <v>950</v>
      </c>
      <c r="N9" s="6">
        <f t="shared" si="6"/>
        <v>178.125</v>
      </c>
    </row>
    <row r="10" spans="1:14" ht="21.75" customHeight="1" x14ac:dyDescent="0.35">
      <c r="A10" s="7" t="s">
        <v>37</v>
      </c>
      <c r="B10" s="7" t="s">
        <v>38</v>
      </c>
      <c r="C10" s="7" t="s">
        <v>18</v>
      </c>
      <c r="D10" s="7" t="s">
        <v>33</v>
      </c>
      <c r="E10" s="7" t="s">
        <v>39</v>
      </c>
      <c r="F10" s="7" t="s">
        <v>36</v>
      </c>
      <c r="G10" s="8">
        <f t="shared" si="0"/>
        <v>10</v>
      </c>
      <c r="H10" s="8">
        <f t="shared" si="1"/>
        <v>8</v>
      </c>
      <c r="I10" s="9">
        <f t="shared" si="2"/>
        <v>0</v>
      </c>
      <c r="J10" s="8">
        <f t="shared" si="3"/>
        <v>2</v>
      </c>
      <c r="K10" s="7" t="str">
        <f t="shared" si="4"/>
        <v>✅ Present</v>
      </c>
      <c r="L10" s="10">
        <v>1050</v>
      </c>
      <c r="M10" s="11">
        <f t="shared" si="5"/>
        <v>1050</v>
      </c>
      <c r="N10" s="11">
        <f t="shared" si="6"/>
        <v>393.75</v>
      </c>
    </row>
    <row r="11" spans="1:14" ht="21.75" customHeight="1" x14ac:dyDescent="0.35">
      <c r="A11" s="2" t="s">
        <v>28</v>
      </c>
      <c r="B11" s="2" t="s">
        <v>29</v>
      </c>
      <c r="C11" s="2" t="s">
        <v>30</v>
      </c>
      <c r="D11" s="2" t="s">
        <v>40</v>
      </c>
      <c r="E11" s="2" t="s">
        <v>41</v>
      </c>
      <c r="F11" s="2" t="s">
        <v>42</v>
      </c>
      <c r="G11" s="3">
        <f t="shared" si="0"/>
        <v>8.2500000000000018</v>
      </c>
      <c r="H11" s="3">
        <f t="shared" si="1"/>
        <v>8</v>
      </c>
      <c r="I11" s="4">
        <f t="shared" si="2"/>
        <v>0</v>
      </c>
      <c r="J11" s="3">
        <f t="shared" si="3"/>
        <v>0.25000000000000178</v>
      </c>
      <c r="K11" s="2" t="str">
        <f t="shared" si="4"/>
        <v>✅ Present</v>
      </c>
      <c r="L11" s="5">
        <v>1100</v>
      </c>
      <c r="M11" s="6">
        <f t="shared" si="5"/>
        <v>1100</v>
      </c>
      <c r="N11" s="6">
        <f t="shared" si="6"/>
        <v>51.562500000000362</v>
      </c>
    </row>
    <row r="12" spans="1:14" ht="21.75" customHeight="1" x14ac:dyDescent="0.35">
      <c r="A12" s="7" t="s">
        <v>16</v>
      </c>
      <c r="B12" s="7" t="s">
        <v>17</v>
      </c>
      <c r="C12" s="7" t="s">
        <v>18</v>
      </c>
      <c r="D12" s="7" t="s">
        <v>40</v>
      </c>
      <c r="E12" s="7" t="s">
        <v>43</v>
      </c>
      <c r="F12" s="7" t="s">
        <v>44</v>
      </c>
      <c r="G12" s="8">
        <f t="shared" si="0"/>
        <v>11.75</v>
      </c>
      <c r="H12" s="8">
        <f t="shared" si="1"/>
        <v>8</v>
      </c>
      <c r="I12" s="9">
        <f t="shared" si="2"/>
        <v>0</v>
      </c>
      <c r="J12" s="8">
        <f t="shared" si="3"/>
        <v>3.75</v>
      </c>
      <c r="K12" s="7" t="str">
        <f t="shared" si="4"/>
        <v>✅ Present</v>
      </c>
      <c r="L12" s="10">
        <v>1200</v>
      </c>
      <c r="M12" s="11">
        <f t="shared" si="5"/>
        <v>1200</v>
      </c>
      <c r="N12" s="11">
        <f t="shared" si="6"/>
        <v>843.75</v>
      </c>
    </row>
    <row r="13" spans="1:14" ht="21.75" customHeight="1" x14ac:dyDescent="0.35">
      <c r="A13" s="2" t="s">
        <v>37</v>
      </c>
      <c r="B13" s="2" t="s">
        <v>38</v>
      </c>
      <c r="C13" s="2" t="s">
        <v>18</v>
      </c>
      <c r="D13" s="2" t="s">
        <v>45</v>
      </c>
      <c r="E13" s="2" t="s">
        <v>20</v>
      </c>
      <c r="F13" s="2" t="s">
        <v>35</v>
      </c>
      <c r="G13" s="3">
        <f t="shared" si="0"/>
        <v>8.5</v>
      </c>
      <c r="H13" s="3">
        <f t="shared" si="1"/>
        <v>8</v>
      </c>
      <c r="I13" s="4">
        <f t="shared" si="2"/>
        <v>0</v>
      </c>
      <c r="J13" s="3">
        <f t="shared" si="3"/>
        <v>0.5</v>
      </c>
      <c r="K13" s="2" t="str">
        <f t="shared" si="4"/>
        <v>✅ Present</v>
      </c>
      <c r="L13" s="5">
        <v>1050</v>
      </c>
      <c r="M13" s="6">
        <f t="shared" si="5"/>
        <v>1050</v>
      </c>
      <c r="N13" s="6">
        <f t="shared" si="6"/>
        <v>98.4375</v>
      </c>
    </row>
    <row r="14" spans="1:14" ht="21.75" customHeight="1" x14ac:dyDescent="0.35">
      <c r="A14" s="7" t="s">
        <v>22</v>
      </c>
      <c r="B14" s="7" t="s">
        <v>23</v>
      </c>
      <c r="C14" s="7" t="s">
        <v>24</v>
      </c>
      <c r="D14" s="7" t="s">
        <v>45</v>
      </c>
      <c r="E14" s="7" t="s">
        <v>34</v>
      </c>
      <c r="F14" s="7" t="s">
        <v>46</v>
      </c>
      <c r="G14" s="8">
        <f t="shared" si="0"/>
        <v>9.5</v>
      </c>
      <c r="H14" s="8">
        <f t="shared" si="1"/>
        <v>8</v>
      </c>
      <c r="I14" s="9">
        <f t="shared" si="2"/>
        <v>0</v>
      </c>
      <c r="J14" s="8">
        <f t="shared" si="3"/>
        <v>1.5</v>
      </c>
      <c r="K14" s="7" t="str">
        <f t="shared" si="4"/>
        <v>✅ Present</v>
      </c>
      <c r="L14" s="10">
        <v>950</v>
      </c>
      <c r="M14" s="11">
        <f t="shared" si="5"/>
        <v>950</v>
      </c>
      <c r="N14" s="11">
        <f t="shared" si="6"/>
        <v>267.1875</v>
      </c>
    </row>
    <row r="15" spans="1:14" ht="21.75" customHeight="1" x14ac:dyDescent="0.35">
      <c r="A15" s="2" t="s">
        <v>28</v>
      </c>
      <c r="B15" s="2" t="s">
        <v>29</v>
      </c>
      <c r="C15" s="2" t="s">
        <v>30</v>
      </c>
      <c r="D15" s="2" t="s">
        <v>47</v>
      </c>
      <c r="E15" s="2" t="s">
        <v>20</v>
      </c>
      <c r="F15" s="61">
        <v>0.66666666666666663</v>
      </c>
      <c r="G15" s="3">
        <f t="shared" si="0"/>
        <v>6.9999999999999991</v>
      </c>
      <c r="H15" s="3">
        <f t="shared" si="1"/>
        <v>6.9999999999999991</v>
      </c>
      <c r="I15" s="4">
        <f t="shared" si="2"/>
        <v>1.0000000000000009</v>
      </c>
      <c r="J15" s="3">
        <f t="shared" si="3"/>
        <v>0</v>
      </c>
      <c r="K15" s="2" t="str">
        <f t="shared" si="4"/>
        <v>⚠ Short</v>
      </c>
      <c r="L15" s="5">
        <v>1100</v>
      </c>
      <c r="M15" s="6">
        <f t="shared" si="5"/>
        <v>962.49999999999989</v>
      </c>
      <c r="N15" s="6">
        <f t="shared" si="6"/>
        <v>0</v>
      </c>
    </row>
    <row r="16" spans="1:14" ht="21.75" customHeight="1" x14ac:dyDescent="0.35">
      <c r="A16" s="7" t="s">
        <v>16</v>
      </c>
      <c r="B16" s="7" t="s">
        <v>17</v>
      </c>
      <c r="C16" s="7" t="s">
        <v>18</v>
      </c>
      <c r="D16" s="7" t="s">
        <v>48</v>
      </c>
      <c r="E16" s="7" t="s">
        <v>26</v>
      </c>
      <c r="F16" s="7" t="s">
        <v>27</v>
      </c>
      <c r="G16" s="8">
        <f t="shared" si="0"/>
        <v>8.5</v>
      </c>
      <c r="H16" s="8">
        <f t="shared" si="1"/>
        <v>8</v>
      </c>
      <c r="I16" s="9">
        <f t="shared" si="2"/>
        <v>0</v>
      </c>
      <c r="J16" s="8">
        <f t="shared" si="3"/>
        <v>0.5</v>
      </c>
      <c r="K16" s="7" t="str">
        <f t="shared" si="4"/>
        <v>✅ Present</v>
      </c>
      <c r="L16" s="10">
        <v>1200</v>
      </c>
      <c r="M16" s="11">
        <f t="shared" si="5"/>
        <v>1200</v>
      </c>
      <c r="N16" s="11">
        <f t="shared" si="6"/>
        <v>112.5</v>
      </c>
    </row>
    <row r="17" spans="1:14" ht="21.75" customHeight="1" x14ac:dyDescent="0.35">
      <c r="A17" s="2" t="s">
        <v>37</v>
      </c>
      <c r="B17" s="2" t="s">
        <v>38</v>
      </c>
      <c r="C17" s="2" t="s">
        <v>18</v>
      </c>
      <c r="D17" s="2" t="s">
        <v>48</v>
      </c>
      <c r="E17" s="2" t="s">
        <v>39</v>
      </c>
      <c r="F17" s="2" t="s">
        <v>21</v>
      </c>
      <c r="G17" s="3">
        <f t="shared" si="0"/>
        <v>10.500000000000002</v>
      </c>
      <c r="H17" s="3">
        <f t="shared" si="1"/>
        <v>8</v>
      </c>
      <c r="I17" s="4">
        <f t="shared" si="2"/>
        <v>0</v>
      </c>
      <c r="J17" s="3">
        <f t="shared" si="3"/>
        <v>2.5000000000000018</v>
      </c>
      <c r="K17" s="2" t="str">
        <f t="shared" si="4"/>
        <v>✅ Present</v>
      </c>
      <c r="L17" s="5">
        <v>1050</v>
      </c>
      <c r="M17" s="6">
        <f t="shared" si="5"/>
        <v>1050</v>
      </c>
      <c r="N17" s="6">
        <f t="shared" si="6"/>
        <v>492.18750000000034</v>
      </c>
    </row>
    <row r="18" spans="1:14" ht="21.75" customHeight="1" x14ac:dyDescent="0.35">
      <c r="A18" s="7" t="s">
        <v>22</v>
      </c>
      <c r="B18" s="7" t="s">
        <v>23</v>
      </c>
      <c r="C18" s="7" t="s">
        <v>24</v>
      </c>
      <c r="D18" s="7" t="s">
        <v>49</v>
      </c>
      <c r="E18" s="7" t="s">
        <v>31</v>
      </c>
      <c r="F18" s="7" t="s">
        <v>42</v>
      </c>
      <c r="G18" s="8">
        <f t="shared" si="0"/>
        <v>8.5</v>
      </c>
      <c r="H18" s="8">
        <f t="shared" si="1"/>
        <v>8</v>
      </c>
      <c r="I18" s="9">
        <f t="shared" si="2"/>
        <v>0</v>
      </c>
      <c r="J18" s="8">
        <f t="shared" si="3"/>
        <v>0.5</v>
      </c>
      <c r="K18" s="7" t="str">
        <f t="shared" si="4"/>
        <v>✅ Present</v>
      </c>
      <c r="L18" s="10">
        <v>950</v>
      </c>
      <c r="M18" s="11">
        <f t="shared" si="5"/>
        <v>950</v>
      </c>
      <c r="N18" s="11">
        <f t="shared" si="6"/>
        <v>89.0625</v>
      </c>
    </row>
    <row r="19" spans="1:14" ht="21.75" customHeight="1" x14ac:dyDescent="0.35">
      <c r="A19" s="2" t="s">
        <v>28</v>
      </c>
      <c r="B19" s="2" t="s">
        <v>29</v>
      </c>
      <c r="C19" s="2" t="s">
        <v>30</v>
      </c>
      <c r="D19" s="2" t="s">
        <v>49</v>
      </c>
      <c r="E19" s="2" t="s">
        <v>20</v>
      </c>
      <c r="F19" s="61">
        <v>0.625</v>
      </c>
      <c r="G19" s="3">
        <f t="shared" si="0"/>
        <v>6</v>
      </c>
      <c r="H19" s="3">
        <f t="shared" si="1"/>
        <v>6</v>
      </c>
      <c r="I19" s="4">
        <f t="shared" si="2"/>
        <v>2</v>
      </c>
      <c r="J19" s="3">
        <f t="shared" si="3"/>
        <v>0</v>
      </c>
      <c r="K19" s="2" t="str">
        <f t="shared" si="4"/>
        <v>⚠ Short</v>
      </c>
      <c r="L19" s="5">
        <v>1100</v>
      </c>
      <c r="M19" s="6">
        <f t="shared" si="5"/>
        <v>825</v>
      </c>
      <c r="N19" s="6">
        <f t="shared" si="6"/>
        <v>0</v>
      </c>
    </row>
    <row r="21" spans="1:14" ht="7.5" customHeight="1" x14ac:dyDescent="0.35"/>
    <row r="22" spans="1:14" ht="27.75" customHeight="1" x14ac:dyDescent="0.35">
      <c r="A22" s="43" t="s">
        <v>50</v>
      </c>
      <c r="B22" s="41"/>
      <c r="C22" s="41"/>
      <c r="D22" s="41"/>
      <c r="E22" s="41"/>
      <c r="F22" s="41"/>
      <c r="G22" s="41"/>
      <c r="H22" s="41"/>
    </row>
    <row r="23" spans="1:14" ht="33.75" customHeight="1" x14ac:dyDescent="0.35">
      <c r="A23" s="12" t="s">
        <v>2</v>
      </c>
      <c r="B23" s="12" t="s">
        <v>51</v>
      </c>
      <c r="C23" s="12" t="s">
        <v>52</v>
      </c>
      <c r="D23" s="12" t="s">
        <v>53</v>
      </c>
      <c r="E23" s="12" t="s">
        <v>54</v>
      </c>
      <c r="F23" s="12" t="s">
        <v>55</v>
      </c>
      <c r="G23" s="12" t="s">
        <v>56</v>
      </c>
      <c r="H23" s="12" t="s">
        <v>57</v>
      </c>
      <c r="I23" s="12" t="s">
        <v>58</v>
      </c>
      <c r="J23" s="12" t="s">
        <v>59</v>
      </c>
      <c r="K23" s="12" t="s">
        <v>60</v>
      </c>
      <c r="L23" s="12" t="s">
        <v>61</v>
      </c>
    </row>
    <row r="24" spans="1:14" ht="24" customHeight="1" x14ac:dyDescent="0.35">
      <c r="A24" s="13" t="s">
        <v>16</v>
      </c>
      <c r="B24" s="13" t="s">
        <v>17</v>
      </c>
      <c r="C24" s="13">
        <f>COUNTIF($A$5:$A$19,A24)</f>
        <v>4</v>
      </c>
      <c r="D24" s="14">
        <f>IFERROR(SUMIF($A$5:$A$19,A24,$I$5:$I$19),0)</f>
        <v>0</v>
      </c>
      <c r="E24" s="14" t="s">
        <v>62</v>
      </c>
      <c r="F24" s="15">
        <f>MAX(0,D24-E24)</f>
        <v>0</v>
      </c>
      <c r="G24" s="16">
        <f>IFERROR(F24*(SUMIF($A$5:$A$19,A24,$L$5:$L$19)/COUNTIF($A$5:$A$19,A24))/8,0)</f>
        <v>0</v>
      </c>
      <c r="H24" s="14">
        <f>IFERROR(SUMIF($A$5:$A$19,A24,$J$5:$J$19),0)</f>
        <v>6.5</v>
      </c>
      <c r="I24" s="16">
        <f>IFERROR(SUMIF($A$5:$A$19,A24,$M$5:$M$19),0)</f>
        <v>4800</v>
      </c>
      <c r="J24" s="16">
        <f>IFERROR(SUMIF($A$5:$A$19,A24,$N$5:$N$19),0)</f>
        <v>1462.5</v>
      </c>
      <c r="K24" s="16">
        <f>IFERROR(MIN(D24,2)*(SUMIF($A$5:$A$19,A24,$L$5:$L$19)/COUNTIF($A$5:$A$19,A24))/8,0)</f>
        <v>0</v>
      </c>
      <c r="L24" s="16">
        <f>I24+J24-G24</f>
        <v>6262.5</v>
      </c>
    </row>
    <row r="25" spans="1:14" ht="24" customHeight="1" x14ac:dyDescent="0.35">
      <c r="A25" s="13" t="s">
        <v>22</v>
      </c>
      <c r="B25" s="13" t="s">
        <v>23</v>
      </c>
      <c r="C25" s="13">
        <f>COUNTIF($A$5:$A$19,A25)</f>
        <v>4</v>
      </c>
      <c r="D25" s="14">
        <f>IFERROR(SUMIF($A$5:$A$19,A25,$I$5:$I$19),0)</f>
        <v>0</v>
      </c>
      <c r="E25" s="14" t="s">
        <v>62</v>
      </c>
      <c r="F25" s="15">
        <f>MAX(0,D25-E25)</f>
        <v>0</v>
      </c>
      <c r="G25" s="16">
        <f>IFERROR(F25*(SUMIF($A$5:$A$19,A25,$L$5:$L$19)/COUNTIF($A$5:$A$19,A25))/8,0)</f>
        <v>0</v>
      </c>
      <c r="H25" s="14">
        <f>IFERROR(SUMIF($A$5:$A$19,A25,$J$5:$J$19),0)</f>
        <v>3.5</v>
      </c>
      <c r="I25" s="16">
        <f>IFERROR(SUMIF($A$5:$A$19,A25,$M$5:$M$19),0)</f>
        <v>3800</v>
      </c>
      <c r="J25" s="16">
        <f>IFERROR(SUMIF($A$5:$A$19,A25,$N$5:$N$19),0)</f>
        <v>623.4375</v>
      </c>
      <c r="K25" s="16">
        <f>IFERROR(MIN(D25,2)*(SUMIF($A$5:$A$19,A25,$L$5:$L$19)/COUNTIF($A$5:$A$19,A25))/8,0)</f>
        <v>0</v>
      </c>
      <c r="L25" s="16">
        <f>I25+J25-G25</f>
        <v>4423.4375</v>
      </c>
    </row>
    <row r="26" spans="1:14" ht="24" customHeight="1" x14ac:dyDescent="0.35">
      <c r="A26" s="13" t="s">
        <v>28</v>
      </c>
      <c r="B26" s="13" t="s">
        <v>29</v>
      </c>
      <c r="C26" s="13">
        <f>COUNTIF($A$5:$A$19,A26)</f>
        <v>4</v>
      </c>
      <c r="D26" s="14">
        <f>IFERROR(SUMIF($A$5:$A$19,A26,$I$5:$I$19),0)</f>
        <v>3.0000000000000009</v>
      </c>
      <c r="E26" s="14" t="s">
        <v>62</v>
      </c>
      <c r="F26" s="15">
        <f>MAX(0,D26-E26)</f>
        <v>1.0000000000000009</v>
      </c>
      <c r="G26" s="16">
        <f>IFERROR(F26*(SUMIF($A$5:$A$19,A26,$L$5:$L$19)/COUNTIF($A$5:$A$19,A26))/8,0)</f>
        <v>137.50000000000011</v>
      </c>
      <c r="H26" s="14">
        <f>IFERROR(SUMIF($A$5:$A$19,A26,$J$5:$J$19),0)</f>
        <v>2</v>
      </c>
      <c r="I26" s="16">
        <f>IFERROR(SUMIF($A$5:$A$19,A26,$M$5:$M$19),0)</f>
        <v>3987.5</v>
      </c>
      <c r="J26" s="16">
        <f>IFERROR(SUMIF($A$5:$A$19,A26,$N$5:$N$19),0)</f>
        <v>412.49999999999994</v>
      </c>
      <c r="K26" s="16">
        <f>IFERROR(MIN(D26,2)*(SUMIF($A$5:$A$19,A26,$L$5:$L$19)/COUNTIF($A$5:$A$19,A26))/8,0)</f>
        <v>275</v>
      </c>
      <c r="L26" s="16">
        <f>I26+J26-G26</f>
        <v>4262.5</v>
      </c>
    </row>
    <row r="27" spans="1:14" ht="24" customHeight="1" x14ac:dyDescent="0.35">
      <c r="A27" s="13" t="s">
        <v>37</v>
      </c>
      <c r="B27" s="13" t="s">
        <v>38</v>
      </c>
      <c r="C27" s="13">
        <f>COUNTIF($A$5:$A$19,A27)</f>
        <v>3</v>
      </c>
      <c r="D27" s="14">
        <f>IFERROR(SUMIF($A$5:$A$19,A27,$I$5:$I$19),0)</f>
        <v>0</v>
      </c>
      <c r="E27" s="14" t="s">
        <v>62</v>
      </c>
      <c r="F27" s="15">
        <f>MAX(0,D27-E27)</f>
        <v>0</v>
      </c>
      <c r="G27" s="16">
        <f>IFERROR(F27*(SUMIF($A$5:$A$19,A27,$L$5:$L$19)/COUNTIF($A$5:$A$19,A27))/8,0)</f>
        <v>0</v>
      </c>
      <c r="H27" s="14">
        <f>IFERROR(SUMIF($A$5:$A$19,A27,$J$5:$J$19),0)</f>
        <v>5.0000000000000018</v>
      </c>
      <c r="I27" s="16">
        <f>IFERROR(SUMIF($A$5:$A$19,A27,$M$5:$M$19),0)</f>
        <v>3150</v>
      </c>
      <c r="J27" s="16">
        <f>IFERROR(SUMIF($A$5:$A$19,A27,$N$5:$N$19),0)</f>
        <v>984.37500000000034</v>
      </c>
      <c r="K27" s="16">
        <f>IFERROR(MIN(D27,2)*(SUMIF($A$5:$A$19,A27,$L$5:$L$19)/COUNTIF($A$5:$A$19,A27))/8,0)</f>
        <v>0</v>
      </c>
      <c r="L27" s="16">
        <f>I27+J27-G27</f>
        <v>4134.375</v>
      </c>
    </row>
    <row r="29" spans="1:14" ht="7.5" customHeight="1" x14ac:dyDescent="0.35"/>
    <row r="30" spans="1:14" ht="27.75" customHeight="1" x14ac:dyDescent="0.35">
      <c r="A30" s="40" t="s">
        <v>63</v>
      </c>
      <c r="B30" s="41"/>
      <c r="C30" s="41"/>
      <c r="D30" s="41"/>
      <c r="E30" s="41"/>
      <c r="F30" s="41"/>
      <c r="G30" s="41"/>
      <c r="H30" s="41"/>
    </row>
  </sheetData>
  <mergeCells count="4">
    <mergeCell ref="A30:H30"/>
    <mergeCell ref="A2:N2"/>
    <mergeCell ref="A22:H22"/>
    <mergeCell ref="A1:N1"/>
  </mergeCells>
  <dataValidations count="3">
    <dataValidation type="list" showErrorMessage="1" errorTitle="Invalid ID" error="Choose from E101–E104" sqref="A5:A19" xr:uid="{00000000-0002-0000-0000-000000000000}">
      <formula1>"E101,E102,E103,E104"</formula1>
      <formula2>0</formula2>
    </dataValidation>
    <dataValidation type="list" showErrorMessage="1" errorTitle="Invalid Dept" error="Select a valid department" sqref="C5:C19" xr:uid="{00000000-0002-0000-0000-000001000000}">
      <formula1>"IT,HR,Finance,Operations,Sales"</formula1>
      <formula2>0</formula2>
    </dataValidation>
    <dataValidation type="decimal" showErrorMessage="1" errorTitle="Invalid Rate" error="Daily rate must be ₹500–₹5000" sqref="L5:L19" xr:uid="{00000000-0002-0000-0000-000002000000}">
      <formula1>500</formula1>
      <formula2>5000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showGridLines="0" zoomScaleNormal="100" workbookViewId="0">
      <pane ySplit="4" topLeftCell="A5" activePane="bottomLeft" state="frozen"/>
      <selection pane="bottomLeft" sqref="A1:J1"/>
    </sheetView>
  </sheetViews>
  <sheetFormatPr defaultColWidth="8.6328125" defaultRowHeight="14.5" x14ac:dyDescent="0.35"/>
  <cols>
    <col min="1" max="1" width="22" customWidth="1"/>
    <col min="2" max="2" width="20" customWidth="1"/>
    <col min="3" max="3" width="12" customWidth="1"/>
    <col min="4" max="4" width="10" customWidth="1"/>
    <col min="5" max="5" width="14" customWidth="1"/>
    <col min="6" max="6" width="12" customWidth="1"/>
    <col min="7" max="7" width="16" customWidth="1"/>
    <col min="8" max="8" width="14" customWidth="1"/>
    <col min="9" max="9" width="13" customWidth="1"/>
    <col min="10" max="10" width="14" customWidth="1"/>
  </cols>
  <sheetData>
    <row r="1" spans="1:10" ht="33.75" customHeight="1" x14ac:dyDescent="0.35">
      <c r="A1" s="47" t="s">
        <v>64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19.5" customHeight="1" x14ac:dyDescent="0.35">
      <c r="A2" s="51" t="s">
        <v>65</v>
      </c>
      <c r="B2" s="41"/>
      <c r="C2" s="41"/>
      <c r="D2" s="41"/>
      <c r="E2" s="41"/>
      <c r="F2" s="41"/>
      <c r="G2" s="41"/>
      <c r="H2" s="41"/>
      <c r="I2" s="41"/>
      <c r="J2" s="41"/>
    </row>
    <row r="4" spans="1:10" ht="33.75" customHeight="1" x14ac:dyDescent="0.35">
      <c r="A4" s="17" t="s">
        <v>2</v>
      </c>
      <c r="B4" s="17" t="s">
        <v>51</v>
      </c>
      <c r="C4" s="17" t="s">
        <v>66</v>
      </c>
      <c r="D4" s="17" t="s">
        <v>67</v>
      </c>
      <c r="E4" s="17" t="s">
        <v>68</v>
      </c>
      <c r="F4" s="17" t="s">
        <v>15</v>
      </c>
      <c r="G4" s="17" t="s">
        <v>69</v>
      </c>
      <c r="H4" s="17" t="s">
        <v>60</v>
      </c>
      <c r="I4" s="17" t="s">
        <v>70</v>
      </c>
      <c r="J4" s="17" t="s">
        <v>71</v>
      </c>
    </row>
    <row r="5" spans="1:10" ht="24" customHeight="1" x14ac:dyDescent="0.35">
      <c r="A5" s="18" t="s">
        <v>16</v>
      </c>
      <c r="B5" s="18" t="s">
        <v>17</v>
      </c>
      <c r="C5" s="18" t="s">
        <v>18</v>
      </c>
      <c r="D5" s="18">
        <f>Timesheet!C24</f>
        <v>4</v>
      </c>
      <c r="E5" s="19">
        <f>Timesheet!I24</f>
        <v>4800</v>
      </c>
      <c r="F5" s="19">
        <f>Timesheet!J24</f>
        <v>1462.5</v>
      </c>
      <c r="G5" s="19">
        <f>Timesheet!G24</f>
        <v>0</v>
      </c>
      <c r="H5" s="19">
        <f>Timesheet!K24</f>
        <v>0</v>
      </c>
      <c r="I5" s="19">
        <f>(E5+F5-G5)*0.1</f>
        <v>626.25</v>
      </c>
      <c r="J5" s="19">
        <f>E5+F5-G5-I5</f>
        <v>5636.25</v>
      </c>
    </row>
    <row r="6" spans="1:10" ht="24" customHeight="1" x14ac:dyDescent="0.35">
      <c r="A6" s="7" t="s">
        <v>22</v>
      </c>
      <c r="B6" s="7" t="s">
        <v>23</v>
      </c>
      <c r="C6" s="7" t="s">
        <v>24</v>
      </c>
      <c r="D6" s="7">
        <f>Timesheet!C25</f>
        <v>4</v>
      </c>
      <c r="E6" s="11">
        <f>Timesheet!I25</f>
        <v>3800</v>
      </c>
      <c r="F6" s="11">
        <f>Timesheet!J25</f>
        <v>623.4375</v>
      </c>
      <c r="G6" s="11">
        <f>Timesheet!G25</f>
        <v>0</v>
      </c>
      <c r="H6" s="11">
        <f>Timesheet!K25</f>
        <v>0</v>
      </c>
      <c r="I6" s="11">
        <f>(E6+F6-G6)*0.1</f>
        <v>442.34375</v>
      </c>
      <c r="J6" s="11">
        <f>E6+F6-G6-I6</f>
        <v>3981.09375</v>
      </c>
    </row>
    <row r="7" spans="1:10" ht="24" customHeight="1" x14ac:dyDescent="0.35">
      <c r="A7" s="18" t="s">
        <v>28</v>
      </c>
      <c r="B7" s="18" t="s">
        <v>29</v>
      </c>
      <c r="C7" s="18" t="s">
        <v>30</v>
      </c>
      <c r="D7" s="18">
        <f>Timesheet!C26</f>
        <v>4</v>
      </c>
      <c r="E7" s="19">
        <f>Timesheet!I26</f>
        <v>3987.5</v>
      </c>
      <c r="F7" s="19">
        <f>Timesheet!J26</f>
        <v>412.49999999999994</v>
      </c>
      <c r="G7" s="19">
        <f>Timesheet!G26</f>
        <v>137.50000000000011</v>
      </c>
      <c r="H7" s="19">
        <f>Timesheet!K26</f>
        <v>275</v>
      </c>
      <c r="I7" s="19">
        <f>(E7+F7-G7)*0.1</f>
        <v>426.25</v>
      </c>
      <c r="J7" s="19">
        <f>E7+F7-G7-I7</f>
        <v>3836.25</v>
      </c>
    </row>
    <row r="8" spans="1:10" ht="24" customHeight="1" x14ac:dyDescent="0.35">
      <c r="A8" s="7" t="s">
        <v>37</v>
      </c>
      <c r="B8" s="7" t="s">
        <v>38</v>
      </c>
      <c r="C8" s="7" t="s">
        <v>18</v>
      </c>
      <c r="D8" s="7">
        <f>Timesheet!C27</f>
        <v>3</v>
      </c>
      <c r="E8" s="11">
        <f>Timesheet!I27</f>
        <v>3150</v>
      </c>
      <c r="F8" s="11">
        <f>Timesheet!J27</f>
        <v>984.37500000000034</v>
      </c>
      <c r="G8" s="11">
        <f>Timesheet!G27</f>
        <v>0</v>
      </c>
      <c r="H8" s="11">
        <f>Timesheet!K27</f>
        <v>0</v>
      </c>
      <c r="I8" s="11">
        <f>(E8+F8-G8)*0.1</f>
        <v>413.4375</v>
      </c>
      <c r="J8" s="11">
        <f>E8+F8-G8-I8</f>
        <v>3720.9375</v>
      </c>
    </row>
    <row r="9" spans="1:10" ht="25.5" customHeight="1" x14ac:dyDescent="0.35">
      <c r="A9" s="48" t="s">
        <v>72</v>
      </c>
      <c r="B9" s="46"/>
      <c r="C9" s="46"/>
      <c r="D9" s="49"/>
      <c r="E9" s="20">
        <f t="shared" ref="E9:J9" si="0">SUM(E5:E8)</f>
        <v>15737.5</v>
      </c>
      <c r="F9" s="20">
        <f t="shared" si="0"/>
        <v>3482.8125000000005</v>
      </c>
      <c r="G9" s="20">
        <f t="shared" si="0"/>
        <v>137.50000000000011</v>
      </c>
      <c r="H9" s="20">
        <f t="shared" si="0"/>
        <v>275</v>
      </c>
      <c r="I9" s="20">
        <f t="shared" si="0"/>
        <v>1908.28125</v>
      </c>
      <c r="J9" s="20">
        <f t="shared" si="0"/>
        <v>17174.53125</v>
      </c>
    </row>
    <row r="11" spans="1:10" ht="7.5" customHeight="1" x14ac:dyDescent="0.35"/>
    <row r="12" spans="1:10" ht="25.5" customHeight="1" x14ac:dyDescent="0.35">
      <c r="A12" s="50" t="s">
        <v>73</v>
      </c>
      <c r="B12" s="41"/>
      <c r="C12" s="41"/>
      <c r="D12" s="41"/>
      <c r="E12" s="41"/>
      <c r="F12" s="41"/>
      <c r="G12" s="41"/>
      <c r="H12" s="41"/>
      <c r="I12" s="41"/>
      <c r="J12" s="41"/>
    </row>
    <row r="13" spans="1:10" ht="21.75" customHeight="1" x14ac:dyDescent="0.35">
      <c r="A13" s="21" t="s">
        <v>74</v>
      </c>
      <c r="B13" s="45" t="s">
        <v>75</v>
      </c>
      <c r="C13" s="46"/>
      <c r="D13" s="46"/>
      <c r="E13" s="46"/>
      <c r="F13" s="46"/>
      <c r="G13" s="46"/>
      <c r="H13" s="46"/>
      <c r="I13" s="46"/>
      <c r="J13" s="46"/>
    </row>
    <row r="14" spans="1:10" ht="21.75" customHeight="1" x14ac:dyDescent="0.35">
      <c r="A14" s="21" t="s">
        <v>76</v>
      </c>
      <c r="B14" s="45" t="s">
        <v>77</v>
      </c>
      <c r="C14" s="46"/>
      <c r="D14" s="46"/>
      <c r="E14" s="46"/>
      <c r="F14" s="46"/>
      <c r="G14" s="46"/>
      <c r="H14" s="46"/>
      <c r="I14" s="46"/>
      <c r="J14" s="46"/>
    </row>
    <row r="15" spans="1:10" ht="21.75" customHeight="1" x14ac:dyDescent="0.35">
      <c r="A15" s="21" t="s">
        <v>78</v>
      </c>
      <c r="B15" s="45" t="s">
        <v>79</v>
      </c>
      <c r="C15" s="46"/>
      <c r="D15" s="46"/>
      <c r="E15" s="46"/>
      <c r="F15" s="46"/>
      <c r="G15" s="46"/>
      <c r="H15" s="46"/>
      <c r="I15" s="46"/>
      <c r="J15" s="46"/>
    </row>
    <row r="16" spans="1:10" ht="21.75" customHeight="1" x14ac:dyDescent="0.35">
      <c r="A16" s="21" t="s">
        <v>80</v>
      </c>
      <c r="B16" s="45" t="s">
        <v>81</v>
      </c>
      <c r="C16" s="46"/>
      <c r="D16" s="46"/>
      <c r="E16" s="46"/>
      <c r="F16" s="46"/>
      <c r="G16" s="46"/>
      <c r="H16" s="46"/>
      <c r="I16" s="46"/>
      <c r="J16" s="46"/>
    </row>
    <row r="17" spans="1:10" ht="21.75" customHeight="1" x14ac:dyDescent="0.35">
      <c r="A17" s="21" t="s">
        <v>80</v>
      </c>
      <c r="B17" s="45" t="s">
        <v>82</v>
      </c>
      <c r="C17" s="46"/>
      <c r="D17" s="46"/>
      <c r="E17" s="46"/>
      <c r="F17" s="46"/>
      <c r="G17" s="46"/>
      <c r="H17" s="46"/>
      <c r="I17" s="46"/>
      <c r="J17" s="46"/>
    </row>
    <row r="18" spans="1:10" ht="21.75" customHeight="1" x14ac:dyDescent="0.35">
      <c r="A18" s="21" t="s">
        <v>83</v>
      </c>
      <c r="B18" s="45" t="s">
        <v>84</v>
      </c>
      <c r="C18" s="46"/>
      <c r="D18" s="46"/>
      <c r="E18" s="46"/>
      <c r="F18" s="46"/>
      <c r="G18" s="46"/>
      <c r="H18" s="46"/>
      <c r="I18" s="46"/>
      <c r="J18" s="46"/>
    </row>
  </sheetData>
  <mergeCells count="10">
    <mergeCell ref="B18:J18"/>
    <mergeCell ref="A2:J2"/>
    <mergeCell ref="B13:J13"/>
    <mergeCell ref="B16:J16"/>
    <mergeCell ref="B15:J15"/>
    <mergeCell ref="A1:J1"/>
    <mergeCell ref="A9:D9"/>
    <mergeCell ref="B14:J14"/>
    <mergeCell ref="B17:J17"/>
    <mergeCell ref="A12:J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5"/>
  <sheetViews>
    <sheetView showGridLines="0" topLeftCell="A4" workbookViewId="0">
      <selection activeCell="C5" sqref="C5"/>
    </sheetView>
  </sheetViews>
  <sheetFormatPr defaultRowHeight="14.5" x14ac:dyDescent="0.35"/>
  <cols>
    <col min="1" max="1" width="5" customWidth="1"/>
    <col min="2" max="2" width="28" customWidth="1"/>
    <col min="3" max="3" width="22" customWidth="1"/>
    <col min="4" max="4" width="26" customWidth="1"/>
    <col min="5" max="5" width="22" customWidth="1"/>
  </cols>
  <sheetData>
    <row r="1" spans="2:5" ht="42" customHeight="1" x14ac:dyDescent="0.35">
      <c r="B1" s="52" t="s">
        <v>85</v>
      </c>
      <c r="C1" s="41"/>
      <c r="D1" s="41"/>
      <c r="E1" s="41"/>
    </row>
    <row r="2" spans="2:5" ht="22" customHeight="1" x14ac:dyDescent="0.35">
      <c r="B2" s="59" t="s">
        <v>86</v>
      </c>
      <c r="C2" s="41"/>
      <c r="D2" s="41"/>
      <c r="E2" s="41"/>
    </row>
    <row r="3" spans="2:5" ht="8" customHeight="1" x14ac:dyDescent="0.35"/>
    <row r="4" spans="2:5" ht="20" customHeight="1" x14ac:dyDescent="0.35">
      <c r="B4" s="53" t="s">
        <v>87</v>
      </c>
      <c r="C4" s="41"/>
      <c r="D4" s="41"/>
      <c r="E4" s="41"/>
    </row>
    <row r="5" spans="2:5" ht="22" customHeight="1" x14ac:dyDescent="0.35">
      <c r="B5" s="22" t="s">
        <v>88</v>
      </c>
      <c r="C5" s="23" t="s">
        <v>28</v>
      </c>
      <c r="D5" s="22" t="s">
        <v>4</v>
      </c>
      <c r="E5" s="24" t="s">
        <v>18</v>
      </c>
    </row>
    <row r="6" spans="2:5" ht="22" customHeight="1" x14ac:dyDescent="0.35">
      <c r="B6" s="22" t="s">
        <v>3</v>
      </c>
      <c r="C6" s="24" t="s">
        <v>117</v>
      </c>
      <c r="D6" s="22" t="s">
        <v>89</v>
      </c>
      <c r="E6" s="24" t="s">
        <v>90</v>
      </c>
    </row>
    <row r="7" spans="2:5" ht="22" customHeight="1" x14ac:dyDescent="0.35">
      <c r="B7" s="22" t="s">
        <v>91</v>
      </c>
      <c r="C7" s="24" t="s">
        <v>92</v>
      </c>
      <c r="D7" s="22" t="s">
        <v>93</v>
      </c>
      <c r="E7" s="25">
        <f>IFERROR(INDEX('Payroll Calculator'!D5:D8,MATCH(C5,'Payroll Calculator'!A5:A8,0)),"--")</f>
        <v>4</v>
      </c>
    </row>
    <row r="8" spans="2:5" ht="22" customHeight="1" x14ac:dyDescent="0.35">
      <c r="B8" s="22" t="s">
        <v>94</v>
      </c>
      <c r="C8" s="24" t="s">
        <v>95</v>
      </c>
      <c r="D8" s="22" t="s">
        <v>96</v>
      </c>
      <c r="E8" s="24" t="s">
        <v>97</v>
      </c>
    </row>
    <row r="9" spans="2:5" ht="22" customHeight="1" x14ac:dyDescent="0.35">
      <c r="B9" s="22" t="s">
        <v>98</v>
      </c>
      <c r="C9" s="24" t="s">
        <v>99</v>
      </c>
      <c r="D9" s="22" t="s">
        <v>100</v>
      </c>
      <c r="E9" s="24" t="s">
        <v>101</v>
      </c>
    </row>
    <row r="10" spans="2:5" ht="8" customHeight="1" x14ac:dyDescent="0.35"/>
    <row r="11" spans="2:5" ht="28" customHeight="1" x14ac:dyDescent="0.35">
      <c r="B11" s="54" t="s">
        <v>102</v>
      </c>
      <c r="C11" s="41"/>
      <c r="D11" s="55" t="s">
        <v>103</v>
      </c>
      <c r="E11" s="41"/>
    </row>
    <row r="12" spans="2:5" ht="22" customHeight="1" x14ac:dyDescent="0.35">
      <c r="B12" s="26" t="s">
        <v>104</v>
      </c>
      <c r="C12" s="26" t="s">
        <v>105</v>
      </c>
      <c r="D12" s="27" t="s">
        <v>104</v>
      </c>
      <c r="E12" s="27" t="s">
        <v>105</v>
      </c>
    </row>
    <row r="13" spans="2:5" ht="22" customHeight="1" x14ac:dyDescent="0.35">
      <c r="B13" s="22" t="s">
        <v>106</v>
      </c>
      <c r="C13" s="28">
        <f>IFERROR(INDEX('Payroll Calculator'!E5:E8,MATCH(C5,'Payroll Calculator'!A5:A8,0)),0)</f>
        <v>3987.5</v>
      </c>
      <c r="D13" s="29" t="s">
        <v>107</v>
      </c>
      <c r="E13" s="30">
        <f>IFERROR(INDEX('Payroll Calculator'!G5:G8,MATCH(C5,'Payroll Calculator'!A5:A8,0)),0)</f>
        <v>137.50000000000011</v>
      </c>
    </row>
    <row r="14" spans="2:5" ht="22" customHeight="1" x14ac:dyDescent="0.35">
      <c r="B14" s="31" t="s">
        <v>108</v>
      </c>
      <c r="C14" s="32">
        <f>IFERROR(INDEX('Payroll Calculator'!F5:F8,MATCH(C5,'Payroll Calculator'!A5:A8,0)),0)</f>
        <v>412.49999999999994</v>
      </c>
      <c r="D14" s="31" t="s">
        <v>109</v>
      </c>
      <c r="E14" s="33">
        <f>IFERROR(INDEX('Payroll Calculator'!I5:I8,MATCH(C5,'Payroll Calculator'!A5:A8,0)),0)</f>
        <v>426.25</v>
      </c>
    </row>
    <row r="15" spans="2:5" ht="22" customHeight="1" x14ac:dyDescent="0.35">
      <c r="B15" s="22" t="s">
        <v>110</v>
      </c>
      <c r="C15" s="28">
        <v>200</v>
      </c>
      <c r="D15" s="29" t="s">
        <v>111</v>
      </c>
      <c r="E15" s="30">
        <v>150</v>
      </c>
    </row>
    <row r="16" spans="2:5" ht="22" customHeight="1" x14ac:dyDescent="0.35">
      <c r="B16" s="34"/>
      <c r="C16" s="35"/>
      <c r="D16" s="34"/>
      <c r="E16" s="35"/>
    </row>
    <row r="17" spans="2:5" ht="28" customHeight="1" x14ac:dyDescent="0.35">
      <c r="B17" s="36" t="s">
        <v>112</v>
      </c>
      <c r="C17" s="37">
        <f>SUM(C13:C16)</f>
        <v>4600</v>
      </c>
      <c r="D17" s="38" t="s">
        <v>113</v>
      </c>
      <c r="E17" s="39">
        <f>SUM(E13:E16)</f>
        <v>713.75000000000011</v>
      </c>
    </row>
    <row r="18" spans="2:5" ht="8" customHeight="1" x14ac:dyDescent="0.35"/>
    <row r="19" spans="2:5" ht="26" customHeight="1" x14ac:dyDescent="0.35">
      <c r="B19" s="60" t="str">
        <f>"✅  2-Hr Buffer Saving this month:  ₹"&amp;TEXT(IFERROR(INDEX('Payroll Calculator'!H5:H8,MATCH(C5,'Payroll Calculator'!A5:A8,0)),0),"#,##0.00")&amp;"  — No deduction applied for hours within buffer"</f>
        <v>✅  2-Hr Buffer Saving this month:  ₹275.00  — No deduction applied for hours within buffer</v>
      </c>
      <c r="C19" s="41"/>
      <c r="D19" s="41"/>
      <c r="E19" s="41"/>
    </row>
    <row r="20" spans="2:5" ht="8" customHeight="1" x14ac:dyDescent="0.35"/>
    <row r="21" spans="2:5" ht="42" customHeight="1" x14ac:dyDescent="0.35">
      <c r="B21" s="56" t="str">
        <f>IFERROR("NET SALARY PAYABLE:   ₹"&amp;TEXT(INDEX('Payroll Calculator'!J5:J8,MATCH(C5,'Payroll Calculator'!A5:A8,0)),"#,##0.00"),"NET SALARY PAYABLE:   ₹0.00")</f>
        <v>NET SALARY PAYABLE:   ₹3,836.25</v>
      </c>
      <c r="C21" s="41"/>
      <c r="D21" s="41"/>
      <c r="E21" s="41"/>
    </row>
    <row r="22" spans="2:5" ht="8" customHeight="1" x14ac:dyDescent="0.35"/>
    <row r="23" spans="2:5" ht="40" customHeight="1" x14ac:dyDescent="0.35">
      <c r="B23" s="57" t="s">
        <v>114</v>
      </c>
      <c r="C23" s="41"/>
      <c r="D23" s="57" t="s">
        <v>115</v>
      </c>
      <c r="E23" s="41"/>
    </row>
    <row r="24" spans="2:5" ht="8" customHeight="1" x14ac:dyDescent="0.35"/>
    <row r="25" spans="2:5" x14ac:dyDescent="0.35">
      <c r="B25" s="58" t="s">
        <v>116</v>
      </c>
      <c r="C25" s="41"/>
      <c r="D25" s="41"/>
      <c r="E25" s="41"/>
    </row>
  </sheetData>
  <mergeCells count="10">
    <mergeCell ref="D23:E23"/>
    <mergeCell ref="B23:C23"/>
    <mergeCell ref="B25:E25"/>
    <mergeCell ref="B2:E2"/>
    <mergeCell ref="B19:E19"/>
    <mergeCell ref="B1:E1"/>
    <mergeCell ref="B4:E4"/>
    <mergeCell ref="B11:C11"/>
    <mergeCell ref="D11:E11"/>
    <mergeCell ref="B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Timesheet</vt:lpstr>
      <vt:lpstr>Payroll Calculator</vt:lpstr>
      <vt:lpstr>Salary Slip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 Shetty</cp:lastModifiedBy>
  <cp:revision>0</cp:revision>
  <dcterms:created xsi:type="dcterms:W3CDTF">2026-05-26T14:26:40Z</dcterms:created>
  <dcterms:modified xsi:type="dcterms:W3CDTF">2026-05-26T14:38:57Z</dcterms:modified>
  <dc:language>en-US</dc:language>
</cp:coreProperties>
</file>