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fbb6b1444a49f29/Documents/"/>
    </mc:Choice>
  </mc:AlternateContent>
  <xr:revisionPtr revIDLastSave="38" documentId="8_{D106D528-31D3-4D59-98CB-A559BBDA65D8}" xr6:coauthVersionLast="47" xr6:coauthVersionMax="47" xr10:uidLastSave="{7017A6EC-80AE-434D-9DFB-7207A959C583}"/>
  <bookViews>
    <workbookView xWindow="-110" yWindow="-110" windowWidth="19420" windowHeight="11500" tabRatio="500" activeTab="2" xr2:uid="{00000000-000D-0000-FFFF-FFFF00000000}"/>
  </bookViews>
  <sheets>
    <sheet name="Timesheet" sheetId="1" r:id="rId1"/>
    <sheet name="Payroll Calculator" sheetId="2" r:id="rId2"/>
    <sheet name="Salary Slip" sheetId="3" r:id="rId3"/>
  </sheets>
  <definedNames>
    <definedName name="_xlnm.Print_Area" localSheetId="2">'Salary Slip'!$B$4:$E$22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5" i="1" l="1"/>
  <c r="J15" i="1"/>
  <c r="I15" i="1"/>
  <c r="G15" i="1"/>
  <c r="H14" i="1"/>
  <c r="I14" i="1"/>
  <c r="J14" i="1"/>
  <c r="M14" i="1"/>
  <c r="G14" i="1"/>
  <c r="G12" i="1"/>
  <c r="I12" i="1"/>
  <c r="M12" i="1" s="1"/>
  <c r="G8" i="1"/>
  <c r="G5" i="1"/>
  <c r="C8" i="3"/>
  <c r="E7" i="3"/>
  <c r="C7" i="3"/>
  <c r="D8" i="2"/>
  <c r="D7" i="2"/>
  <c r="D6" i="2"/>
  <c r="D5" i="2"/>
  <c r="C27" i="1"/>
  <c r="C26" i="1"/>
  <c r="C25" i="1"/>
  <c r="C24" i="1"/>
  <c r="G19" i="1"/>
  <c r="G18" i="1"/>
  <c r="G17" i="1"/>
  <c r="G16" i="1"/>
  <c r="G13" i="1"/>
  <c r="G11" i="1"/>
  <c r="G10" i="1"/>
  <c r="G9" i="1"/>
  <c r="H9" i="1" s="1"/>
  <c r="L9" i="1" s="1"/>
  <c r="G7" i="1"/>
  <c r="G6" i="1"/>
  <c r="H15" i="1" l="1"/>
  <c r="I11" i="1"/>
  <c r="M11" i="1" s="1"/>
  <c r="J11" i="1"/>
  <c r="H11" i="1"/>
  <c r="L11" i="1" s="1"/>
  <c r="J12" i="1"/>
  <c r="H12" i="1"/>
  <c r="L12" i="1" s="1"/>
  <c r="J8" i="1"/>
  <c r="I8" i="1"/>
  <c r="M8" i="1" s="1"/>
  <c r="H8" i="1"/>
  <c r="L8" i="1" s="1"/>
  <c r="I5" i="1"/>
  <c r="M5" i="1" s="1"/>
  <c r="J5" i="1"/>
  <c r="H5" i="1"/>
  <c r="L5" i="1" s="1"/>
  <c r="C15" i="3"/>
  <c r="C10" i="3"/>
  <c r="J19" i="1"/>
  <c r="I19" i="1"/>
  <c r="M19" i="1" s="1"/>
  <c r="H19" i="1"/>
  <c r="L19" i="1" s="1"/>
  <c r="J18" i="1"/>
  <c r="I18" i="1"/>
  <c r="M18" i="1" s="1"/>
  <c r="H18" i="1"/>
  <c r="L18" i="1" s="1"/>
  <c r="J17" i="1"/>
  <c r="I17" i="1"/>
  <c r="M17" i="1" s="1"/>
  <c r="H17" i="1"/>
  <c r="L17" i="1" s="1"/>
  <c r="J16" i="1"/>
  <c r="I16" i="1"/>
  <c r="M16" i="1" s="1"/>
  <c r="H16" i="1"/>
  <c r="L16" i="1" s="1"/>
  <c r="J13" i="1"/>
  <c r="I13" i="1"/>
  <c r="M13" i="1" s="1"/>
  <c r="H13" i="1"/>
  <c r="L13" i="1" s="1"/>
  <c r="J10" i="1"/>
  <c r="I10" i="1"/>
  <c r="H10" i="1"/>
  <c r="L10" i="1" s="1"/>
  <c r="J9" i="1"/>
  <c r="I9" i="1"/>
  <c r="M9" i="1" s="1"/>
  <c r="J7" i="1"/>
  <c r="I7" i="1"/>
  <c r="H7" i="1"/>
  <c r="L7" i="1" s="1"/>
  <c r="J6" i="1"/>
  <c r="H6" i="1"/>
  <c r="L6" i="1" s="1"/>
  <c r="I6" i="1"/>
  <c r="M10" i="1" l="1"/>
  <c r="F8" i="2"/>
  <c r="D27" i="1"/>
  <c r="E27" i="1"/>
  <c r="E8" i="2"/>
  <c r="M7" i="1"/>
  <c r="D26" i="1"/>
  <c r="F7" i="2"/>
  <c r="E7" i="2"/>
  <c r="E26" i="1"/>
  <c r="E25" i="1"/>
  <c r="E6" i="2"/>
  <c r="M6" i="1"/>
  <c r="D25" i="1"/>
  <c r="F6" i="2"/>
  <c r="D24" i="1"/>
  <c r="F5" i="2"/>
  <c r="E10" i="3" s="1"/>
  <c r="E24" i="1"/>
  <c r="E5" i="2"/>
  <c r="G8" i="2" l="1"/>
  <c r="F27" i="1"/>
  <c r="G27" i="1" s="1"/>
  <c r="H8" i="2"/>
  <c r="F26" i="1"/>
  <c r="G26" i="1" s="1"/>
  <c r="G7" i="2"/>
  <c r="H7" i="2"/>
  <c r="H6" i="2"/>
  <c r="F25" i="1"/>
  <c r="G25" i="1" s="1"/>
  <c r="G6" i="2"/>
  <c r="G5" i="2"/>
  <c r="F24" i="1"/>
  <c r="G24" i="1" s="1"/>
  <c r="E9" i="2"/>
  <c r="H5" i="2"/>
  <c r="C13" i="3"/>
  <c r="I6" i="2" l="1"/>
  <c r="J6" i="2" s="1"/>
  <c r="I8" i="2"/>
  <c r="J8" i="2" s="1"/>
  <c r="I7" i="2"/>
  <c r="I5" i="2"/>
  <c r="J5" i="2" s="1"/>
  <c r="E8" i="3" s="1"/>
  <c r="C14" i="3"/>
  <c r="C17" i="3" s="1"/>
  <c r="G9" i="2"/>
  <c r="H9" i="2"/>
  <c r="E13" i="3"/>
  <c r="E14" i="3"/>
  <c r="J7" i="2" l="1"/>
  <c r="I9" i="2"/>
  <c r="E17" i="3"/>
  <c r="B19" i="3" s="1"/>
</calcChain>
</file>

<file path=xl/sharedStrings.xml><?xml version="1.0" encoding="utf-8"?>
<sst xmlns="http://schemas.openxmlformats.org/spreadsheetml/2006/main" count="178" uniqueCount="90">
  <si>
    <t>🕐  EMPLOYEE TIMESHEET &amp; PAYROLL CALCULATOR</t>
  </si>
  <si>
    <t>Month: May 2026  |  Normal Hours: 8/day  |  OT Rate: 1.5×</t>
  </si>
  <si>
    <t>Emp ID</t>
  </si>
  <si>
    <t>Employee Name</t>
  </si>
  <si>
    <t>Department</t>
  </si>
  <si>
    <t>Date</t>
  </si>
  <si>
    <t>In Time</t>
  </si>
  <si>
    <t>Out Time</t>
  </si>
  <si>
    <t>Total Hrs</t>
  </si>
  <si>
    <t>Normal Hrs</t>
  </si>
  <si>
    <t>OT Hours</t>
  </si>
  <si>
    <t>Status</t>
  </si>
  <si>
    <t>Daily Rate (₹)</t>
  </si>
  <si>
    <t>Daily Pay (₹)</t>
  </si>
  <si>
    <t>OT Pay (₹)</t>
  </si>
  <si>
    <t>E101</t>
  </si>
  <si>
    <t>Rahul Sharma</t>
  </si>
  <si>
    <t>IT</t>
  </si>
  <si>
    <t>09:00</t>
  </si>
  <si>
    <t>18:30</t>
  </si>
  <si>
    <t>E102</t>
  </si>
  <si>
    <t>Priya Patel</t>
  </si>
  <si>
    <t>HR</t>
  </si>
  <si>
    <t>02-May-26</t>
  </si>
  <si>
    <t>08:30</t>
  </si>
  <si>
    <t>17:00</t>
  </si>
  <si>
    <t>E103</t>
  </si>
  <si>
    <t>Arun Kumar</t>
  </si>
  <si>
    <t>Finance</t>
  </si>
  <si>
    <t>09:15</t>
  </si>
  <si>
    <t>19:00</t>
  </si>
  <si>
    <t>03-May-26</t>
  </si>
  <si>
    <t>17:30</t>
  </si>
  <si>
    <t>18:00</t>
  </si>
  <si>
    <t>E104</t>
  </si>
  <si>
    <t>Sneha Reddy</t>
  </si>
  <si>
    <t>08:00</t>
  </si>
  <si>
    <t>05-May-26</t>
  </si>
  <si>
    <t>09:30</t>
  </si>
  <si>
    <t>17:45</t>
  </si>
  <si>
    <t>20:00</t>
  </si>
  <si>
    <t>06-May-26</t>
  </si>
  <si>
    <t>07-May-26</t>
  </si>
  <si>
    <t>08-May-26</t>
  </si>
  <si>
    <t>09-May-26</t>
  </si>
  <si>
    <t>📊  EMPLOYEE SUMMARY  (SUMIF &amp; COUNTIF)</t>
  </si>
  <si>
    <t>Name</t>
  </si>
  <si>
    <t>Days Worked
(COUNTIF)</t>
  </si>
  <si>
    <t>Total OT Hrs
(SUMIF)</t>
  </si>
  <si>
    <t>Total Daily Pay ₹
(SUMIF)</t>
  </si>
  <si>
    <t>Total OT Pay ₹
(SUMIF)</t>
  </si>
  <si>
    <t>Grand Total ₹</t>
  </si>
  <si>
    <t>💰  MONTHLY PAYROLL CALCULATOR</t>
  </si>
  <si>
    <t>Payroll Period: May 2026  |  Currency: INR (₹)  |  OT Multiplier: 1.5×</t>
  </si>
  <si>
    <t>Days
Worked</t>
  </si>
  <si>
    <t>Basic Pay ₹</t>
  </si>
  <si>
    <t>OT Pay ₹</t>
  </si>
  <si>
    <t>Deductions ₹</t>
  </si>
  <si>
    <t>Net Salary ₹</t>
  </si>
  <si>
    <t>Pay Grade</t>
  </si>
  <si>
    <t>TOTAL</t>
  </si>
  <si>
    <t>⚙  PAYROLL ASSUMPTIONS</t>
  </si>
  <si>
    <t>Normal Work Hours/Day</t>
  </si>
  <si>
    <t>8</t>
  </si>
  <si>
    <t>OT Multiplier</t>
  </si>
  <si>
    <t>1.5×</t>
  </si>
  <si>
    <t>PF Deduction Rate</t>
  </si>
  <si>
    <t>10%</t>
  </si>
  <si>
    <t>Pay Period</t>
  </si>
  <si>
    <t>Monthly</t>
  </si>
  <si>
    <t>👤  Select Employee:</t>
  </si>
  <si>
    <t>E101 - Rahul Sharma</t>
  </si>
  <si>
    <t>🏢   PAYROLL MANAGEMENT SYSTEM</t>
  </si>
  <si>
    <t>EMPLOYEE SALARY SLIP  —  May 2026</t>
  </si>
  <si>
    <t>Employee ID</t>
  </si>
  <si>
    <t>May 2026</t>
  </si>
  <si>
    <t>Payment Mode</t>
  </si>
  <si>
    <t>Bank Transfer</t>
  </si>
  <si>
    <t>Days Worked</t>
  </si>
  <si>
    <t xml:space="preserve">  EARNINGS</t>
  </si>
  <si>
    <t xml:space="preserve">  DEDUCTIONS</t>
  </si>
  <si>
    <t>Basic Pay</t>
  </si>
  <si>
    <t>Provident Fund (PF)</t>
  </si>
  <si>
    <t>OT Pay</t>
  </si>
  <si>
    <t>Professional Tax</t>
  </si>
  <si>
    <t>Attendance Bonus</t>
  </si>
  <si>
    <t>Gross Earnings:</t>
  </si>
  <si>
    <t>Total Deductions:</t>
  </si>
  <si>
    <t>This is a computer-generated payslip and does not require a physical signature.</t>
  </si>
  <si>
    <t>⚠  Change the dropdown above to view salary slips for other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</si>
</sst>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\₹#,##0.00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1"/>
      <color rgb="FF1F3864"/>
      <name val="Arial"/>
    </font>
    <font>
      <b/>
      <sz val="11"/>
      <color rgb="FF2E75B6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404040"/>
      <name val="Arial"/>
    </font>
    <font>
      <sz val="10"/>
      <color rgb="FF202020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b/>
      <sz val="10"/>
      <color rgb="FF833C00"/>
      <name val="Arial"/>
    </font>
    <font>
      <b/>
      <sz val="13"/>
      <color rgb="FF1F3864"/>
      <name val="Arial"/>
    </font>
    <font>
      <i/>
      <sz val="9"/>
      <color rgb="FF808080"/>
      <name val="Arial"/>
    </font>
    <font>
      <i/>
      <sz val="9"/>
      <color rgb="FF2E75B6"/>
      <name val="Arial"/>
    </font>
    <font>
      <sz val="8"/>
      <name val="Calibri"/>
      <family val="2"/>
      <charset val="1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145A32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6EAF8"/>
      </patternFill>
    </fill>
    <fill>
      <patternFill patternType="solid">
        <fgColor rgb="FFFFF2CC"/>
        <bgColor rgb="FFFDEDEC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EAFAF1"/>
      </patternFill>
    </fill>
    <fill>
      <patternFill patternType="solid">
        <fgColor rgb="FF145A32"/>
        <bgColor rgb="FF375623"/>
      </patternFill>
    </fill>
    <fill>
      <patternFill patternType="solid">
        <fgColor rgb="FF1E8449"/>
        <bgColor rgb="FF008080"/>
      </patternFill>
    </fill>
    <fill>
      <patternFill patternType="solid">
        <fgColor rgb="FFEAFAF1"/>
        <bgColor rgb="FFEBF5FB"/>
      </patternFill>
    </fill>
    <fill>
      <patternFill patternType="solid">
        <fgColor rgb="FFD6EAF8"/>
        <bgColor rgb="FFD6E4F0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E2EFDA"/>
        <bgColor rgb="FFE2EFDA"/>
      </patternFill>
    </fill>
    <fill>
      <patternFill patternType="solid">
        <fgColor rgb="FFEBF1DE"/>
        <bgColor rgb="FFEBF1DE"/>
      </patternFill>
    </fill>
    <fill>
      <patternFill patternType="solid">
        <fgColor rgb="FFFCE4D6"/>
        <bgColor rgb="FFFCE4D6"/>
      </patternFill>
    </fill>
    <fill>
      <patternFill patternType="solid">
        <fgColor rgb="FFFDE9D9"/>
        <bgColor rgb="FFFDE9D9"/>
      </patternFill>
    </fill>
    <fill>
      <patternFill patternType="solid">
        <fgColor rgb="FFC6EFCE"/>
        <bgColor rgb="FFC6EFCE"/>
      </patternFill>
    </fill>
    <fill>
      <patternFill patternType="solid">
        <fgColor rgb="FFF4CCAC"/>
        <bgColor rgb="FFF4CCAC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165" fontId="4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165" fontId="4" fillId="11" borderId="2" xfId="0" applyNumberFormat="1" applyFont="1" applyFill="1" applyBorder="1" applyAlignment="1">
      <alignment horizontal="center" vertical="center"/>
    </xf>
    <xf numFmtId="2" fontId="4" fillId="11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4" fillId="19" borderId="5" xfId="0" applyFont="1" applyFill="1" applyBorder="1" applyAlignment="1">
      <alignment horizontal="left" vertical="center"/>
    </xf>
    <xf numFmtId="165" fontId="15" fillId="0" borderId="5" xfId="0" applyNumberFormat="1" applyFont="1" applyBorder="1" applyAlignment="1">
      <alignment horizontal="right" vertical="center"/>
    </xf>
    <xf numFmtId="0" fontId="14" fillId="21" borderId="5" xfId="0" applyFont="1" applyFill="1" applyBorder="1" applyAlignment="1">
      <alignment horizontal="left" vertical="center"/>
    </xf>
    <xf numFmtId="0" fontId="14" fillId="20" borderId="5" xfId="0" applyFont="1" applyFill="1" applyBorder="1" applyAlignment="1">
      <alignment horizontal="left" vertical="center"/>
    </xf>
    <xf numFmtId="0" fontId="14" fillId="22" borderId="5" xfId="0" applyFont="1" applyFill="1" applyBorder="1" applyAlignment="1">
      <alignment horizontal="left" vertical="center"/>
    </xf>
    <xf numFmtId="0" fontId="0" fillId="21" borderId="5" xfId="0" applyFill="1" applyBorder="1"/>
    <xf numFmtId="0" fontId="17" fillId="23" borderId="5" xfId="0" applyFont="1" applyFill="1" applyBorder="1" applyAlignment="1">
      <alignment horizontal="left" vertical="center"/>
    </xf>
    <xf numFmtId="165" fontId="17" fillId="23" borderId="5" xfId="0" applyNumberFormat="1" applyFont="1" applyFill="1" applyBorder="1" applyAlignment="1">
      <alignment horizontal="right" vertical="center"/>
    </xf>
    <xf numFmtId="0" fontId="18" fillId="24" borderId="5" xfId="0" applyFont="1" applyFill="1" applyBorder="1" applyAlignment="1">
      <alignment horizontal="left" vertical="center"/>
    </xf>
    <xf numFmtId="165" fontId="18" fillId="24" borderId="5" xfId="0" applyNumberFormat="1" applyFont="1" applyFill="1" applyBorder="1" applyAlignment="1">
      <alignment horizontal="right" vertical="center"/>
    </xf>
    <xf numFmtId="15" fontId="4" fillId="4" borderId="2" xfId="0" applyNumberFormat="1" applyFont="1" applyFill="1" applyBorder="1" applyAlignment="1">
      <alignment horizontal="center" vertical="center"/>
    </xf>
    <xf numFmtId="15" fontId="4" fillId="6" borderId="2" xfId="0" applyNumberFormat="1" applyFont="1" applyFill="1" applyBorder="1" applyAlignment="1">
      <alignment horizontal="center" vertical="center"/>
    </xf>
    <xf numFmtId="49" fontId="23" fillId="6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23" fillId="4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18" borderId="6" xfId="0" applyFont="1" applyFill="1" applyBorder="1" applyAlignment="1">
      <alignment horizontal="left" vertical="center"/>
    </xf>
    <xf numFmtId="0" fontId="16" fillId="17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14" borderId="6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3" fillId="15" borderId="0" xfId="0" applyFont="1" applyFill="1" applyAlignment="1">
      <alignment horizontal="center" vertical="center"/>
    </xf>
    <xf numFmtId="0" fontId="19" fillId="2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AF1"/>
      <rgbColor rgb="FFE2EFDA"/>
      <rgbColor rgb="FFFFF2CC"/>
      <rgbColor rgb="FFEBF5FB"/>
      <rgbColor rgb="FFFF99CC"/>
      <rgbColor rgb="FFCC99FF"/>
      <rgbColor rgb="FFFDEDE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22B21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showGridLines="0" zoomScaleNormal="100" workbookViewId="0">
      <pane ySplit="4" topLeftCell="A24" activePane="bottomLeft" state="frozen"/>
      <selection pane="bottomLeft" activeCell="L22" sqref="L22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4" customWidth="1"/>
    <col min="4" max="4" width="13" customWidth="1"/>
    <col min="5" max="6" width="11" customWidth="1"/>
    <col min="7" max="10" width="10" customWidth="1"/>
    <col min="11" max="11" width="14" customWidth="1"/>
    <col min="12" max="12" width="13" customWidth="1"/>
    <col min="13" max="13" width="12" customWidth="1"/>
  </cols>
  <sheetData>
    <row r="1" spans="1:13" ht="36" customHeight="1" x14ac:dyDescent="0.35">
      <c r="A1" s="44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9.5" customHeight="1" x14ac:dyDescent="0.35">
      <c r="A2" s="43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6" customHeight="1" x14ac:dyDescent="0.35"/>
    <row r="4" spans="1:13" ht="30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21.75" customHeight="1" x14ac:dyDescent="0.35">
      <c r="A5" s="2" t="s">
        <v>15</v>
      </c>
      <c r="B5" s="2" t="s">
        <v>16</v>
      </c>
      <c r="C5" s="2" t="s">
        <v>17</v>
      </c>
      <c r="D5" s="35">
        <v>46143</v>
      </c>
      <c r="E5" s="2" t="s">
        <v>18</v>
      </c>
      <c r="F5" s="2" t="s">
        <v>19</v>
      </c>
      <c r="G5" s="3">
        <f t="shared" ref="G5:G19" si="0">IFERROR((TIMEVALUE(F5)-TIMEVALUE(E5))*24,"--")</f>
        <v>9.5</v>
      </c>
      <c r="H5" s="3">
        <f t="shared" ref="H5:H19" si="1">IFERROR(MIN(G5,8),"--")</f>
        <v>8</v>
      </c>
      <c r="I5" s="4">
        <f t="shared" ref="I5:I19" si="2">IFERROR(IF(G5&gt;8,G5-8,0),"--")</f>
        <v>1.5</v>
      </c>
      <c r="J5" s="2" t="str">
        <f t="shared" ref="J5:J19" si="3">IF(G5&gt;=8,"✅ Present","⚠ Short")</f>
        <v>✅ Present</v>
      </c>
      <c r="K5" s="5">
        <v>1200</v>
      </c>
      <c r="L5" s="6">
        <f t="shared" ref="L5:L19" si="4">IFERROR((H5/8)*K5,"--")</f>
        <v>1200</v>
      </c>
      <c r="M5" s="6">
        <f t="shared" ref="M5:M19" si="5">IFERROR(I5*(K5/8)*1.5,"--")</f>
        <v>337.5</v>
      </c>
    </row>
    <row r="6" spans="1:13" ht="21.75" customHeight="1" x14ac:dyDescent="0.35">
      <c r="A6" s="7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8">
        <f t="shared" si="0"/>
        <v>8.5</v>
      </c>
      <c r="H6" s="8">
        <f t="shared" si="1"/>
        <v>8</v>
      </c>
      <c r="I6" s="9">
        <f t="shared" si="2"/>
        <v>0.5</v>
      </c>
      <c r="J6" s="7" t="str">
        <f t="shared" si="3"/>
        <v>✅ Present</v>
      </c>
      <c r="K6" s="10">
        <v>950</v>
      </c>
      <c r="L6" s="11">
        <f t="shared" si="4"/>
        <v>950</v>
      </c>
      <c r="M6" s="11">
        <f t="shared" si="5"/>
        <v>89.0625</v>
      </c>
    </row>
    <row r="7" spans="1:13" ht="21.75" customHeight="1" x14ac:dyDescent="0.35">
      <c r="A7" s="2" t="s">
        <v>26</v>
      </c>
      <c r="B7" s="2" t="s">
        <v>27</v>
      </c>
      <c r="C7" s="2" t="s">
        <v>28</v>
      </c>
      <c r="D7" s="2" t="s">
        <v>23</v>
      </c>
      <c r="E7" s="2" t="s">
        <v>29</v>
      </c>
      <c r="F7" s="2" t="s">
        <v>30</v>
      </c>
      <c r="G7" s="3">
        <f t="shared" si="0"/>
        <v>9.7499999999999982</v>
      </c>
      <c r="H7" s="3">
        <f t="shared" si="1"/>
        <v>8</v>
      </c>
      <c r="I7" s="4">
        <f t="shared" si="2"/>
        <v>1.7499999999999982</v>
      </c>
      <c r="J7" s="2" t="str">
        <f t="shared" si="3"/>
        <v>✅ Present</v>
      </c>
      <c r="K7" s="5">
        <v>1100</v>
      </c>
      <c r="L7" s="6">
        <f t="shared" si="4"/>
        <v>1100</v>
      </c>
      <c r="M7" s="6">
        <f t="shared" si="5"/>
        <v>360.9374999999996</v>
      </c>
    </row>
    <row r="8" spans="1:13" ht="21.75" customHeight="1" x14ac:dyDescent="0.35">
      <c r="A8" s="7" t="s">
        <v>15</v>
      </c>
      <c r="B8" s="7" t="s">
        <v>16</v>
      </c>
      <c r="C8" s="7" t="s">
        <v>17</v>
      </c>
      <c r="D8" s="36">
        <v>46144</v>
      </c>
      <c r="E8" s="37" t="s">
        <v>36</v>
      </c>
      <c r="F8" s="37" t="s">
        <v>33</v>
      </c>
      <c r="G8" s="3">
        <f t="shared" ref="G8" si="6">IFERROR((TIMEVALUE(F8)-TIMEVALUE(E8))*24,"--")</f>
        <v>10</v>
      </c>
      <c r="H8" s="3">
        <f t="shared" si="1"/>
        <v>8</v>
      </c>
      <c r="I8" s="4">
        <f t="shared" ref="I8" si="7">IFERROR(IF(G8&gt;8,G8-8,0),"--")</f>
        <v>2</v>
      </c>
      <c r="J8" s="2" t="str">
        <f t="shared" ref="J8" si="8">IF(G8&gt;=8,"✅ Present","⚠ Short")</f>
        <v>✅ Present</v>
      </c>
      <c r="K8" s="5">
        <v>1101</v>
      </c>
      <c r="L8" s="6">
        <f t="shared" ref="L8" si="9">IFERROR((H8/8)*K8,"--")</f>
        <v>1101</v>
      </c>
      <c r="M8" s="6">
        <f t="shared" ref="M8" si="10">IFERROR(I8*(K8/8)*1.5,"--")</f>
        <v>412.875</v>
      </c>
    </row>
    <row r="9" spans="1:13" ht="21.75" customHeight="1" x14ac:dyDescent="0.35">
      <c r="A9" s="2" t="s">
        <v>20</v>
      </c>
      <c r="B9" s="2" t="s">
        <v>21</v>
      </c>
      <c r="C9" s="2" t="s">
        <v>22</v>
      </c>
      <c r="D9" s="2" t="s">
        <v>31</v>
      </c>
      <c r="E9" s="2" t="s">
        <v>18</v>
      </c>
      <c r="F9" s="2" t="s">
        <v>33</v>
      </c>
      <c r="G9" s="3">
        <f t="shared" si="0"/>
        <v>9</v>
      </c>
      <c r="H9" s="3">
        <f t="shared" si="1"/>
        <v>8</v>
      </c>
      <c r="I9" s="4">
        <f t="shared" si="2"/>
        <v>1</v>
      </c>
      <c r="J9" s="2" t="str">
        <f t="shared" si="3"/>
        <v>✅ Present</v>
      </c>
      <c r="K9" s="5">
        <v>950</v>
      </c>
      <c r="L9" s="6">
        <f t="shared" si="4"/>
        <v>950</v>
      </c>
      <c r="M9" s="6">
        <f t="shared" si="5"/>
        <v>178.125</v>
      </c>
    </row>
    <row r="10" spans="1:13" ht="21.75" customHeight="1" x14ac:dyDescent="0.35">
      <c r="A10" s="7" t="s">
        <v>34</v>
      </c>
      <c r="B10" s="7" t="s">
        <v>35</v>
      </c>
      <c r="C10" s="7" t="s">
        <v>17</v>
      </c>
      <c r="D10" s="7" t="s">
        <v>31</v>
      </c>
      <c r="E10" s="7" t="s">
        <v>36</v>
      </c>
      <c r="F10" s="7" t="s">
        <v>33</v>
      </c>
      <c r="G10" s="8">
        <f t="shared" si="0"/>
        <v>10</v>
      </c>
      <c r="H10" s="8">
        <f t="shared" si="1"/>
        <v>8</v>
      </c>
      <c r="I10" s="9">
        <f t="shared" si="2"/>
        <v>2</v>
      </c>
      <c r="J10" s="7" t="str">
        <f t="shared" si="3"/>
        <v>✅ Present</v>
      </c>
      <c r="K10" s="10">
        <v>1050</v>
      </c>
      <c r="L10" s="11">
        <f t="shared" si="4"/>
        <v>1050</v>
      </c>
      <c r="M10" s="11">
        <f t="shared" si="5"/>
        <v>393.75</v>
      </c>
    </row>
    <row r="11" spans="1:13" ht="21.75" customHeight="1" x14ac:dyDescent="0.35">
      <c r="A11" s="2" t="s">
        <v>26</v>
      </c>
      <c r="B11" s="2" t="s">
        <v>27</v>
      </c>
      <c r="C11" s="2" t="s">
        <v>28</v>
      </c>
      <c r="D11" s="2" t="s">
        <v>37</v>
      </c>
      <c r="E11" s="2" t="s">
        <v>38</v>
      </c>
      <c r="F11" s="2" t="s">
        <v>39</v>
      </c>
      <c r="G11" s="3">
        <f t="shared" si="0"/>
        <v>8.2500000000000018</v>
      </c>
      <c r="H11" s="3">
        <f t="shared" si="1"/>
        <v>8</v>
      </c>
      <c r="I11" s="4">
        <f t="shared" si="2"/>
        <v>0.25000000000000178</v>
      </c>
      <c r="J11" s="2" t="str">
        <f t="shared" si="3"/>
        <v>✅ Present</v>
      </c>
      <c r="K11" s="5">
        <v>1100</v>
      </c>
      <c r="L11" s="6">
        <f t="shared" si="4"/>
        <v>1100</v>
      </c>
      <c r="M11" s="6">
        <f t="shared" si="5"/>
        <v>51.562500000000362</v>
      </c>
    </row>
    <row r="12" spans="1:13" ht="21.75" customHeight="1" x14ac:dyDescent="0.35">
      <c r="A12" s="7" t="s">
        <v>15</v>
      </c>
      <c r="B12" s="7" t="s">
        <v>16</v>
      </c>
      <c r="C12" s="7" t="s">
        <v>17</v>
      </c>
      <c r="D12" s="7" t="s">
        <v>37</v>
      </c>
      <c r="E12" s="37" t="s">
        <v>18</v>
      </c>
      <c r="F12" s="37" t="s">
        <v>40</v>
      </c>
      <c r="G12" s="38">
        <f t="shared" si="0"/>
        <v>11</v>
      </c>
      <c r="H12" s="38">
        <f t="shared" si="1"/>
        <v>8</v>
      </c>
      <c r="I12" s="39">
        <f t="shared" si="2"/>
        <v>3</v>
      </c>
      <c r="J12" s="38" t="str">
        <f t="shared" si="3"/>
        <v>✅ Present</v>
      </c>
      <c r="K12" s="5">
        <v>1101</v>
      </c>
      <c r="L12" s="6">
        <f t="shared" ref="L12" si="11">IFERROR((H12/8)*K12,"--")</f>
        <v>1101</v>
      </c>
      <c r="M12" s="6">
        <f t="shared" ref="M12" si="12">IFERROR(I12*(K12/8)*1.5,"--")</f>
        <v>619.3125</v>
      </c>
    </row>
    <row r="13" spans="1:13" ht="21.75" customHeight="1" x14ac:dyDescent="0.35">
      <c r="A13" s="2" t="s">
        <v>34</v>
      </c>
      <c r="B13" s="2" t="s">
        <v>35</v>
      </c>
      <c r="C13" s="2" t="s">
        <v>17</v>
      </c>
      <c r="D13" s="2" t="s">
        <v>41</v>
      </c>
      <c r="E13" s="2" t="s">
        <v>18</v>
      </c>
      <c r="F13" s="2" t="s">
        <v>32</v>
      </c>
      <c r="G13" s="3">
        <f t="shared" si="0"/>
        <v>8.5</v>
      </c>
      <c r="H13" s="3">
        <f t="shared" si="1"/>
        <v>8</v>
      </c>
      <c r="I13" s="4">
        <f t="shared" si="2"/>
        <v>0.5</v>
      </c>
      <c r="J13" s="2" t="str">
        <f t="shared" si="3"/>
        <v>✅ Present</v>
      </c>
      <c r="K13" s="5">
        <v>1050</v>
      </c>
      <c r="L13" s="6">
        <f t="shared" si="4"/>
        <v>1050</v>
      </c>
      <c r="M13" s="6">
        <f t="shared" si="5"/>
        <v>98.4375</v>
      </c>
    </row>
    <row r="14" spans="1:13" ht="21.75" customHeight="1" x14ac:dyDescent="0.35">
      <c r="A14" s="7" t="s">
        <v>20</v>
      </c>
      <c r="B14" s="7" t="s">
        <v>21</v>
      </c>
      <c r="C14" s="7" t="s">
        <v>22</v>
      </c>
      <c r="D14" s="7" t="s">
        <v>41</v>
      </c>
      <c r="E14" s="37" t="s">
        <v>36</v>
      </c>
      <c r="F14" s="37" t="s">
        <v>19</v>
      </c>
      <c r="G14" s="8">
        <f>IFERROR((TIMEVALUE(F14)-TIMEVALUE(E14))*24,"--")</f>
        <v>10.500000000000002</v>
      </c>
      <c r="H14" s="8">
        <f t="shared" si="1"/>
        <v>8</v>
      </c>
      <c r="I14" s="9">
        <f t="shared" si="2"/>
        <v>2.5000000000000018</v>
      </c>
      <c r="J14" s="7" t="str">
        <f t="shared" si="3"/>
        <v>✅ Present</v>
      </c>
      <c r="K14" s="5">
        <v>1051</v>
      </c>
      <c r="L14" s="5">
        <v>1051</v>
      </c>
      <c r="M14" s="6">
        <f t="shared" ref="M14:M15" si="13">IFERROR(I14*(K14/8)*1.5,"--")</f>
        <v>492.65625000000034</v>
      </c>
    </row>
    <row r="15" spans="1:13" ht="21.75" customHeight="1" x14ac:dyDescent="0.35">
      <c r="A15" s="2" t="s">
        <v>26</v>
      </c>
      <c r="B15" s="2" t="s">
        <v>27</v>
      </c>
      <c r="C15" s="2" t="s">
        <v>28</v>
      </c>
      <c r="D15" s="2" t="s">
        <v>42</v>
      </c>
      <c r="E15" s="40" t="s">
        <v>18</v>
      </c>
      <c r="F15" s="40" t="s">
        <v>19</v>
      </c>
      <c r="G15" s="8">
        <f>IFERROR((TIMEVALUE(F15)-TIMEVALUE(E15))*24,"--")</f>
        <v>9.5</v>
      </c>
      <c r="H15" s="8">
        <f t="shared" ref="H15" si="14">IFERROR(MIN(G15,8),"--")</f>
        <v>8</v>
      </c>
      <c r="I15" s="9">
        <f t="shared" si="2"/>
        <v>1.5</v>
      </c>
      <c r="J15" s="7" t="str">
        <f t="shared" si="3"/>
        <v>✅ Present</v>
      </c>
      <c r="K15" s="5">
        <v>1051</v>
      </c>
      <c r="L15" s="5">
        <v>1051</v>
      </c>
      <c r="M15" s="6">
        <f t="shared" si="13"/>
        <v>295.59375</v>
      </c>
    </row>
    <row r="16" spans="1:13" ht="21.75" customHeight="1" x14ac:dyDescent="0.35">
      <c r="A16" s="7" t="s">
        <v>15</v>
      </c>
      <c r="B16" s="7" t="s">
        <v>16</v>
      </c>
      <c r="C16" s="7" t="s">
        <v>17</v>
      </c>
      <c r="D16" s="7" t="s">
        <v>43</v>
      </c>
      <c r="E16" s="7" t="s">
        <v>24</v>
      </c>
      <c r="F16" s="7" t="s">
        <v>25</v>
      </c>
      <c r="G16" s="8">
        <f t="shared" si="0"/>
        <v>8.5</v>
      </c>
      <c r="H16" s="8">
        <f t="shared" si="1"/>
        <v>8</v>
      </c>
      <c r="I16" s="9">
        <f t="shared" si="2"/>
        <v>0.5</v>
      </c>
      <c r="J16" s="7" t="str">
        <f t="shared" si="3"/>
        <v>✅ Present</v>
      </c>
      <c r="K16" s="10">
        <v>1200</v>
      </c>
      <c r="L16" s="11">
        <f t="shared" si="4"/>
        <v>1200</v>
      </c>
      <c r="M16" s="11">
        <f t="shared" si="5"/>
        <v>112.5</v>
      </c>
    </row>
    <row r="17" spans="1:13" ht="21.75" customHeight="1" x14ac:dyDescent="0.35">
      <c r="A17" s="2" t="s">
        <v>34</v>
      </c>
      <c r="B17" s="2" t="s">
        <v>35</v>
      </c>
      <c r="C17" s="2" t="s">
        <v>17</v>
      </c>
      <c r="D17" s="2" t="s">
        <v>43</v>
      </c>
      <c r="E17" s="2" t="s">
        <v>36</v>
      </c>
      <c r="F17" s="2" t="s">
        <v>19</v>
      </c>
      <c r="G17" s="3">
        <f t="shared" si="0"/>
        <v>10.500000000000002</v>
      </c>
      <c r="H17" s="3">
        <f t="shared" si="1"/>
        <v>8</v>
      </c>
      <c r="I17" s="4">
        <f t="shared" si="2"/>
        <v>2.5000000000000018</v>
      </c>
      <c r="J17" s="2" t="str">
        <f t="shared" si="3"/>
        <v>✅ Present</v>
      </c>
      <c r="K17" s="5">
        <v>1050</v>
      </c>
      <c r="L17" s="6">
        <f t="shared" si="4"/>
        <v>1050</v>
      </c>
      <c r="M17" s="6">
        <f t="shared" si="5"/>
        <v>492.18750000000034</v>
      </c>
    </row>
    <row r="18" spans="1:13" ht="21.75" customHeight="1" x14ac:dyDescent="0.35">
      <c r="A18" s="7" t="s">
        <v>20</v>
      </c>
      <c r="B18" s="7" t="s">
        <v>21</v>
      </c>
      <c r="C18" s="7" t="s">
        <v>22</v>
      </c>
      <c r="D18" s="7" t="s">
        <v>44</v>
      </c>
      <c r="E18" s="7" t="s">
        <v>29</v>
      </c>
      <c r="F18" s="7" t="s">
        <v>39</v>
      </c>
      <c r="G18" s="8">
        <f t="shared" si="0"/>
        <v>8.5</v>
      </c>
      <c r="H18" s="8">
        <f t="shared" si="1"/>
        <v>8</v>
      </c>
      <c r="I18" s="9">
        <f t="shared" si="2"/>
        <v>0.5</v>
      </c>
      <c r="J18" s="7" t="str">
        <f t="shared" si="3"/>
        <v>✅ Present</v>
      </c>
      <c r="K18" s="10">
        <v>950</v>
      </c>
      <c r="L18" s="11">
        <f t="shared" si="4"/>
        <v>950</v>
      </c>
      <c r="M18" s="11">
        <f t="shared" si="5"/>
        <v>89.0625</v>
      </c>
    </row>
    <row r="19" spans="1:13" ht="21.75" customHeight="1" x14ac:dyDescent="0.35">
      <c r="A19" s="2" t="s">
        <v>26</v>
      </c>
      <c r="B19" s="2" t="s">
        <v>27</v>
      </c>
      <c r="C19" s="2" t="s">
        <v>28</v>
      </c>
      <c r="D19" s="2" t="s">
        <v>44</v>
      </c>
      <c r="E19" s="2" t="s">
        <v>18</v>
      </c>
      <c r="F19" s="2" t="s">
        <v>33</v>
      </c>
      <c r="G19" s="3">
        <f t="shared" si="0"/>
        <v>9</v>
      </c>
      <c r="H19" s="3">
        <f t="shared" si="1"/>
        <v>8</v>
      </c>
      <c r="I19" s="4">
        <f t="shared" si="2"/>
        <v>1</v>
      </c>
      <c r="J19" s="2" t="str">
        <f t="shared" si="3"/>
        <v>✅ Present</v>
      </c>
      <c r="K19" s="5">
        <v>1100</v>
      </c>
      <c r="L19" s="6">
        <f t="shared" si="4"/>
        <v>1100</v>
      </c>
      <c r="M19" s="6">
        <f t="shared" si="5"/>
        <v>206.25</v>
      </c>
    </row>
    <row r="21" spans="1:13" ht="7.5" customHeight="1" x14ac:dyDescent="0.35"/>
    <row r="22" spans="1:13" ht="27.75" customHeight="1" x14ac:dyDescent="0.35">
      <c r="A22" s="41" t="s">
        <v>45</v>
      </c>
      <c r="B22" s="42"/>
      <c r="C22" s="42"/>
      <c r="D22" s="42"/>
    </row>
    <row r="23" spans="1:13" ht="30" customHeight="1" x14ac:dyDescent="0.35">
      <c r="A23" s="12" t="s">
        <v>2</v>
      </c>
      <c r="B23" s="12" t="s">
        <v>46</v>
      </c>
      <c r="C23" s="12" t="s">
        <v>47</v>
      </c>
      <c r="D23" s="12" t="s">
        <v>48</v>
      </c>
      <c r="E23" s="12" t="s">
        <v>49</v>
      </c>
      <c r="F23" s="12" t="s">
        <v>50</v>
      </c>
      <c r="G23" s="12" t="s">
        <v>51</v>
      </c>
    </row>
    <row r="24" spans="1:13" ht="21.75" customHeight="1" x14ac:dyDescent="0.35">
      <c r="A24" s="13" t="s">
        <v>15</v>
      </c>
      <c r="B24" s="13" t="s">
        <v>16</v>
      </c>
      <c r="C24" s="13">
        <f>COUNTIF($A$5:$A$19,A24)</f>
        <v>4</v>
      </c>
      <c r="D24" s="14">
        <f>SUMIF($A$5:$A$19,A24,$I$5:$I$19)</f>
        <v>7</v>
      </c>
      <c r="E24" s="14">
        <f>SUMIF($A$5:$A$19,A24,$L$5:$L$19)</f>
        <v>4602</v>
      </c>
      <c r="F24" s="14">
        <f>SUMIF($A$5:$A$19,A24,$M$5:$M$19)</f>
        <v>1482.1875</v>
      </c>
      <c r="G24" s="14">
        <f>E24+F24</f>
        <v>6084.1875</v>
      </c>
    </row>
    <row r="25" spans="1:13" ht="21.75" customHeight="1" x14ac:dyDescent="0.35">
      <c r="A25" s="13" t="s">
        <v>20</v>
      </c>
      <c r="B25" s="13" t="s">
        <v>21</v>
      </c>
      <c r="C25" s="13">
        <f>COUNTIF($A$5:$A$19,A25)</f>
        <v>4</v>
      </c>
      <c r="D25" s="14">
        <f>SUMIF($A$5:$A$19,A25,$I$5:$I$19)</f>
        <v>4.5000000000000018</v>
      </c>
      <c r="E25" s="14">
        <f>SUMIF($A$5:$A$19,A25,$L$5:$L$19)</f>
        <v>3901</v>
      </c>
      <c r="F25" s="14">
        <f>SUMIF($A$5:$A$19,A25,$M$5:$M$19)</f>
        <v>848.90625000000034</v>
      </c>
      <c r="G25" s="14">
        <f>E25+F25</f>
        <v>4749.90625</v>
      </c>
    </row>
    <row r="26" spans="1:13" ht="21.75" customHeight="1" x14ac:dyDescent="0.35">
      <c r="A26" s="13" t="s">
        <v>26</v>
      </c>
      <c r="B26" s="13" t="s">
        <v>27</v>
      </c>
      <c r="C26" s="13">
        <f>COUNTIF($A$5:$A$19,A26)</f>
        <v>4</v>
      </c>
      <c r="D26" s="14">
        <f>SUMIF($A$5:$A$19,A26,$I$5:$I$19)</f>
        <v>4.5</v>
      </c>
      <c r="E26" s="14">
        <f>SUMIF($A$5:$A$19,A26,$L$5:$L$19)</f>
        <v>4351</v>
      </c>
      <c r="F26" s="14">
        <f>SUMIF($A$5:$A$19,A26,$M$5:$M$19)</f>
        <v>914.34375</v>
      </c>
      <c r="G26" s="14">
        <f>E26+F26</f>
        <v>5265.34375</v>
      </c>
    </row>
    <row r="27" spans="1:13" ht="21.75" customHeight="1" x14ac:dyDescent="0.35">
      <c r="A27" s="13" t="s">
        <v>34</v>
      </c>
      <c r="B27" s="13" t="s">
        <v>35</v>
      </c>
      <c r="C27" s="13">
        <f>COUNTIF($A$5:$A$19,A27)</f>
        <v>3</v>
      </c>
      <c r="D27" s="14">
        <f>SUMIF($A$5:$A$19,A27,$I$5:$I$19)</f>
        <v>5.0000000000000018</v>
      </c>
      <c r="E27" s="14">
        <f>SUMIF($A$5:$A$19,A27,$L$5:$L$19)</f>
        <v>3150</v>
      </c>
      <c r="F27" s="14">
        <f>SUMIF($A$5:$A$19,A27,$M$5:$M$19)</f>
        <v>984.37500000000034</v>
      </c>
      <c r="G27" s="14">
        <f>E27+F27</f>
        <v>4134.375</v>
      </c>
    </row>
  </sheetData>
  <mergeCells count="3">
    <mergeCell ref="A22:D22"/>
    <mergeCell ref="A2:M2"/>
    <mergeCell ref="A1:M1"/>
  </mergeCells>
  <phoneticPr fontId="22" type="noConversion"/>
  <dataValidations count="3">
    <dataValidation type="list" showErrorMessage="1" errorTitle="Invalid ID" error="Choose from E101–E104" sqref="A5:A19" xr:uid="{00000000-0002-0000-0000-000000000000}">
      <formula1>"E101,E102,E103,E104"</formula1>
      <formula2>0</formula2>
    </dataValidation>
    <dataValidation type="decimal" showErrorMessage="1" errorTitle="Invalid Rate" error="Daily rate must be ₹500–₹5000" sqref="L14:L15 K5:K19" xr:uid="{00000000-0002-0000-0000-000001000000}">
      <formula1>500</formula1>
      <formula2>5000</formula2>
    </dataValidation>
    <dataValidation type="list" showErrorMessage="1" errorTitle="Invalid Dept" error="Select a valid department" sqref="C5:C19" xr:uid="{00000000-0002-0000-0000-000002000000}">
      <formula1>"IT,HR,Finance,Operations,Sales"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pane ySplit="4" topLeftCell="A5" activePane="bottomLeft" state="frozen"/>
      <selection pane="bottomLeft" sqref="A1:J1"/>
    </sheetView>
  </sheetViews>
  <sheetFormatPr defaultColWidth="8.6328125" defaultRowHeight="14.5" x14ac:dyDescent="0.35"/>
  <cols>
    <col min="1" max="1" width="10" customWidth="1"/>
    <col min="2" max="2" width="20" customWidth="1"/>
    <col min="3" max="3" width="14" customWidth="1"/>
    <col min="4" max="4" width="10" customWidth="1"/>
    <col min="5" max="5" width="14" customWidth="1"/>
    <col min="6" max="6" width="10" customWidth="1"/>
    <col min="7" max="8" width="13" customWidth="1"/>
    <col min="9" max="9" width="14" customWidth="1"/>
    <col min="10" max="10" width="12" customWidth="1"/>
  </cols>
  <sheetData>
    <row r="1" spans="1:10" ht="36" customHeight="1" x14ac:dyDescent="0.35">
      <c r="A1" s="45" t="s">
        <v>52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9.5" customHeight="1" x14ac:dyDescent="0.35">
      <c r="A2" s="50" t="s">
        <v>53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31.5" customHeight="1" x14ac:dyDescent="0.35">
      <c r="A4" s="15" t="s">
        <v>2</v>
      </c>
      <c r="B4" s="15" t="s">
        <v>46</v>
      </c>
      <c r="C4" s="15" t="s">
        <v>4</v>
      </c>
      <c r="D4" s="15" t="s">
        <v>54</v>
      </c>
      <c r="E4" s="15" t="s">
        <v>55</v>
      </c>
      <c r="F4" s="15" t="s">
        <v>10</v>
      </c>
      <c r="G4" s="15" t="s">
        <v>56</v>
      </c>
      <c r="H4" s="15" t="s">
        <v>57</v>
      </c>
      <c r="I4" s="15" t="s">
        <v>58</v>
      </c>
      <c r="J4" s="15" t="s">
        <v>59</v>
      </c>
    </row>
    <row r="5" spans="1:10" ht="24" customHeight="1" x14ac:dyDescent="0.35">
      <c r="A5" s="16" t="s">
        <v>15</v>
      </c>
      <c r="B5" s="16" t="s">
        <v>16</v>
      </c>
      <c r="C5" s="16" t="s">
        <v>17</v>
      </c>
      <c r="D5" s="16">
        <f>COUNTIF(Timesheet!$A$5:$A$19,A5)</f>
        <v>4</v>
      </c>
      <c r="E5" s="17">
        <f>SUMIF(Timesheet!$A$5:$A$19,A5,Timesheet!$L$5:$L$19)</f>
        <v>4602</v>
      </c>
      <c r="F5" s="18">
        <f>SUMIF(Timesheet!$A$5:$A$19,A5,Timesheet!$I$5:$I$19)</f>
        <v>7</v>
      </c>
      <c r="G5" s="17">
        <f>SUMIF(Timesheet!$A$5:$A$19,A5,Timesheet!$M$5:$M$19)</f>
        <v>1482.1875</v>
      </c>
      <c r="H5" s="17">
        <f>E5*0.1</f>
        <v>460.20000000000005</v>
      </c>
      <c r="I5" s="17">
        <f>E5+G5-H5</f>
        <v>5623.9875000000002</v>
      </c>
      <c r="J5" s="16" t="str">
        <f>IF(I5&gt;=5000,"A - Senior",IF(I5&gt;=3500,"B - Mid","C - Junior"))</f>
        <v>A - Senior</v>
      </c>
    </row>
    <row r="6" spans="1:10" ht="24" customHeight="1" x14ac:dyDescent="0.35">
      <c r="A6" s="7" t="s">
        <v>20</v>
      </c>
      <c r="B6" s="7" t="s">
        <v>21</v>
      </c>
      <c r="C6" s="7" t="s">
        <v>22</v>
      </c>
      <c r="D6" s="7">
        <f>COUNTIF(Timesheet!$A$5:$A$19,A6)</f>
        <v>4</v>
      </c>
      <c r="E6" s="11">
        <f>SUMIF(Timesheet!$A$5:$A$19,A6,Timesheet!$L$5:$L$19)</f>
        <v>3901</v>
      </c>
      <c r="F6" s="8">
        <f>SUMIF(Timesheet!$A$5:$A$19,A6,Timesheet!$I$5:$I$19)</f>
        <v>4.5000000000000018</v>
      </c>
      <c r="G6" s="11">
        <f>SUMIF(Timesheet!$A$5:$A$19,A6,Timesheet!$M$5:$M$19)</f>
        <v>848.90625000000034</v>
      </c>
      <c r="H6" s="11">
        <f>E6*0.1</f>
        <v>390.1</v>
      </c>
      <c r="I6" s="11">
        <f>E6+G6-H6</f>
        <v>4359.8062499999996</v>
      </c>
      <c r="J6" s="7" t="str">
        <f>IF(I6&gt;=5000,"A - Senior",IF(I6&gt;=3500,"B - Mid","C - Junior"))</f>
        <v>B - Mid</v>
      </c>
    </row>
    <row r="7" spans="1:10" ht="24" customHeight="1" x14ac:dyDescent="0.35">
      <c r="A7" s="16" t="s">
        <v>26</v>
      </c>
      <c r="B7" s="16" t="s">
        <v>27</v>
      </c>
      <c r="C7" s="16" t="s">
        <v>28</v>
      </c>
      <c r="D7" s="16">
        <f>COUNTIF(Timesheet!$A$5:$A$19,A7)</f>
        <v>4</v>
      </c>
      <c r="E7" s="17">
        <f>SUMIF(Timesheet!$A$5:$A$19,A7,Timesheet!$L$5:$L$19)</f>
        <v>4351</v>
      </c>
      <c r="F7" s="18">
        <f>SUMIF(Timesheet!$A$5:$A$19,A7,Timesheet!$I$5:$I$19)</f>
        <v>4.5</v>
      </c>
      <c r="G7" s="17">
        <f>SUMIF(Timesheet!$A$5:$A$19,A7,Timesheet!$M$5:$M$19)</f>
        <v>914.34375</v>
      </c>
      <c r="H7" s="17">
        <f>E7*0.1</f>
        <v>435.1</v>
      </c>
      <c r="I7" s="17">
        <f>E7+G7-H7</f>
        <v>4830.2437499999996</v>
      </c>
      <c r="J7" s="16" t="str">
        <f>IF(I7&gt;=5000,"A - Senior",IF(I7&gt;=3500,"B - Mid","C - Junior"))</f>
        <v>B - Mid</v>
      </c>
    </row>
    <row r="8" spans="1:10" ht="24" customHeight="1" x14ac:dyDescent="0.35">
      <c r="A8" s="7" t="s">
        <v>34</v>
      </c>
      <c r="B8" s="7" t="s">
        <v>35</v>
      </c>
      <c r="C8" s="7" t="s">
        <v>17</v>
      </c>
      <c r="D8" s="7">
        <f>COUNTIF(Timesheet!$A$5:$A$19,A8)</f>
        <v>3</v>
      </c>
      <c r="E8" s="11">
        <f>SUMIF(Timesheet!$A$5:$A$19,A8,Timesheet!$L$5:$L$19)</f>
        <v>3150</v>
      </c>
      <c r="F8" s="8">
        <f>SUMIF(Timesheet!$A$5:$A$19,A8,Timesheet!$I$5:$I$19)</f>
        <v>5.0000000000000018</v>
      </c>
      <c r="G8" s="11">
        <f>SUMIF(Timesheet!$A$5:$A$19,A8,Timesheet!$M$5:$M$19)</f>
        <v>984.37500000000034</v>
      </c>
      <c r="H8" s="11">
        <f>E8*0.1</f>
        <v>315</v>
      </c>
      <c r="I8" s="11">
        <f>E8+G8-H8</f>
        <v>3819.375</v>
      </c>
      <c r="J8" s="7" t="str">
        <f>IF(I8&gt;=5000,"A - Senior",IF(I8&gt;=3500,"B - Mid","C - Junior"))</f>
        <v>B - Mid</v>
      </c>
    </row>
    <row r="9" spans="1:10" ht="25.5" customHeight="1" x14ac:dyDescent="0.35">
      <c r="A9" s="46" t="s">
        <v>60</v>
      </c>
      <c r="B9" s="47"/>
      <c r="C9" s="47"/>
      <c r="D9" s="48"/>
      <c r="E9" s="19">
        <f>SUM(E5:E8)</f>
        <v>16004</v>
      </c>
      <c r="F9" s="20"/>
      <c r="G9" s="19">
        <f>SUM(G5:G8)</f>
        <v>4229.8125000000009</v>
      </c>
      <c r="H9" s="19">
        <f>SUM(H5:H8)</f>
        <v>1600.4</v>
      </c>
      <c r="I9" s="19">
        <f>SUM(I5:I8)</f>
        <v>18633.412499999999</v>
      </c>
      <c r="J9" s="20"/>
    </row>
    <row r="11" spans="1:10" ht="7.5" customHeight="1" x14ac:dyDescent="0.35"/>
    <row r="12" spans="1:10" ht="25.5" customHeight="1" x14ac:dyDescent="0.35">
      <c r="A12" s="49" t="s">
        <v>61</v>
      </c>
      <c r="B12" s="42"/>
      <c r="C12" s="42"/>
      <c r="D12" s="42"/>
    </row>
    <row r="13" spans="1:10" ht="19.5" customHeight="1" x14ac:dyDescent="0.35">
      <c r="A13" s="21" t="s">
        <v>62</v>
      </c>
      <c r="B13" s="22" t="s">
        <v>63</v>
      </c>
    </row>
    <row r="14" spans="1:10" ht="19.5" customHeight="1" x14ac:dyDescent="0.35">
      <c r="A14" s="21" t="s">
        <v>64</v>
      </c>
      <c r="B14" s="22" t="s">
        <v>65</v>
      </c>
    </row>
    <row r="15" spans="1:10" ht="19.5" customHeight="1" x14ac:dyDescent="0.35">
      <c r="A15" s="21" t="s">
        <v>66</v>
      </c>
      <c r="B15" s="22" t="s">
        <v>67</v>
      </c>
    </row>
    <row r="16" spans="1:10" ht="19.5" customHeight="1" x14ac:dyDescent="0.35">
      <c r="A16" s="21" t="s">
        <v>68</v>
      </c>
      <c r="B16" s="22" t="s">
        <v>69</v>
      </c>
    </row>
  </sheetData>
  <mergeCells count="4">
    <mergeCell ref="A1:J1"/>
    <mergeCell ref="A9:D9"/>
    <mergeCell ref="A12:D12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9"/>
  <sheetViews>
    <sheetView showGridLines="0" tabSelected="1" workbookViewId="0">
      <selection activeCell="D2" sqref="D2:E2"/>
    </sheetView>
  </sheetViews>
  <sheetFormatPr defaultRowHeight="14.5" x14ac:dyDescent="0.35"/>
  <cols>
    <col min="1" max="1" width="3" customWidth="1"/>
    <col min="2" max="2" width="22" customWidth="1"/>
    <col min="3" max="3" width="18" customWidth="1"/>
    <col min="4" max="4" width="22" customWidth="1"/>
    <col min="5" max="5" width="18" customWidth="1"/>
    <col min="6" max="6" width="3" customWidth="1"/>
  </cols>
  <sheetData>
    <row r="1" spans="2:5" ht="10" customHeight="1" x14ac:dyDescent="0.35"/>
    <row r="2" spans="2:5" ht="28" customHeight="1" x14ac:dyDescent="0.35">
      <c r="B2" s="54" t="s">
        <v>70</v>
      </c>
      <c r="C2" s="42"/>
      <c r="D2" s="56" t="s">
        <v>71</v>
      </c>
      <c r="E2" s="42"/>
    </row>
    <row r="3" spans="2:5" ht="8" customHeight="1" x14ac:dyDescent="0.35"/>
    <row r="4" spans="2:5" ht="36" customHeight="1" x14ac:dyDescent="0.35">
      <c r="B4" s="55" t="s">
        <v>72</v>
      </c>
      <c r="C4" s="42"/>
      <c r="D4" s="42"/>
      <c r="E4" s="42"/>
    </row>
    <row r="5" spans="2:5" ht="22" customHeight="1" x14ac:dyDescent="0.35">
      <c r="B5" s="58" t="s">
        <v>73</v>
      </c>
      <c r="C5" s="42"/>
      <c r="D5" s="42"/>
      <c r="E5" s="42"/>
    </row>
    <row r="6" spans="2:5" ht="8" customHeight="1" x14ac:dyDescent="0.35"/>
    <row r="7" spans="2:5" ht="22" customHeight="1" x14ac:dyDescent="0.35">
      <c r="B7" s="23" t="s">
        <v>74</v>
      </c>
      <c r="C7" s="24" t="str">
        <f>LEFT(D2,4)</f>
        <v>E101</v>
      </c>
      <c r="D7" s="23" t="s">
        <v>4</v>
      </c>
      <c r="E7" s="24" t="str">
        <f>IFERROR(VLOOKUP(LEFT(D2,4),'Payroll Calculator'!$A$5:$J$8,3,0),"")</f>
        <v>IT</v>
      </c>
    </row>
    <row r="8" spans="2:5" ht="22" customHeight="1" x14ac:dyDescent="0.35">
      <c r="B8" s="23" t="s">
        <v>3</v>
      </c>
      <c r="C8" s="24" t="str">
        <f>IFERROR(VLOOKUP(LEFT(D2,4),'Payroll Calculator'!$A$5:$J$8,2,0),"")</f>
        <v>Rahul Sharma</v>
      </c>
      <c r="D8" s="23" t="s">
        <v>59</v>
      </c>
      <c r="E8" s="24" t="str">
        <f>IFERROR(VLOOKUP(LEFT(D2,4),'Payroll Calculator'!$A$5:$J$8,10,0),"")</f>
        <v>A - Senior</v>
      </c>
    </row>
    <row r="9" spans="2:5" ht="22" customHeight="1" x14ac:dyDescent="0.35">
      <c r="B9" s="23" t="s">
        <v>68</v>
      </c>
      <c r="C9" s="24" t="s">
        <v>75</v>
      </c>
      <c r="D9" s="23" t="s">
        <v>76</v>
      </c>
      <c r="E9" s="24" t="s">
        <v>77</v>
      </c>
    </row>
    <row r="10" spans="2:5" ht="22" customHeight="1" x14ac:dyDescent="0.35">
      <c r="B10" s="23" t="s">
        <v>78</v>
      </c>
      <c r="C10" s="24">
        <f>IFERROR(VLOOKUP(LEFT(D2,4),'Payroll Calculator'!$A$5:$J$8,4,0),"")</f>
        <v>4</v>
      </c>
      <c r="D10" s="23" t="s">
        <v>10</v>
      </c>
      <c r="E10" s="24">
        <f>IFERROR(VLOOKUP(LEFT(D2,4),'Payroll Calculator'!$A$5:$J$8,6,0),"")</f>
        <v>7</v>
      </c>
    </row>
    <row r="11" spans="2:5" ht="8" customHeight="1" x14ac:dyDescent="0.35"/>
    <row r="12" spans="2:5" ht="24" customHeight="1" x14ac:dyDescent="0.35">
      <c r="B12" s="53" t="s">
        <v>79</v>
      </c>
      <c r="C12" s="42"/>
      <c r="D12" s="52" t="s">
        <v>80</v>
      </c>
      <c r="E12" s="42"/>
    </row>
    <row r="13" spans="2:5" ht="22" customHeight="1" x14ac:dyDescent="0.35">
      <c r="B13" s="25" t="s">
        <v>81</v>
      </c>
      <c r="C13" s="26">
        <f>IFERROR(VLOOKUP(LEFT(D2,4),'Payroll Calculator'!$A$5:$J$8,5,0),0)</f>
        <v>4602</v>
      </c>
      <c r="D13" s="27" t="s">
        <v>82</v>
      </c>
      <c r="E13" s="26">
        <f>IFERROR(VLOOKUP(LEFT(D2,4),'Payroll Calculator'!$A$5:$J$8,8,0)*0.9,0)</f>
        <v>414.18000000000006</v>
      </c>
    </row>
    <row r="14" spans="2:5" ht="22" customHeight="1" x14ac:dyDescent="0.35">
      <c r="B14" s="28" t="s">
        <v>83</v>
      </c>
      <c r="C14" s="26">
        <f>IFERROR(VLOOKUP(LEFT(D2,4),'Payroll Calculator'!$A$5:$J$8,7,0),0)</f>
        <v>1482.1875</v>
      </c>
      <c r="D14" s="29" t="s">
        <v>84</v>
      </c>
      <c r="E14" s="26">
        <f>IFERROR(VLOOKUP(LEFT(D2,4),'Payroll Calculator'!$A$5:$J$8,8,0)*0.1,0)</f>
        <v>46.02000000000001</v>
      </c>
    </row>
    <row r="15" spans="2:5" ht="22" customHeight="1" x14ac:dyDescent="0.35">
      <c r="B15" s="25" t="s">
        <v>85</v>
      </c>
      <c r="C15" s="26">
        <f>IFERROR(IF(VLOOKUP(LEFT(D2,4),'Payroll Calculator'!$A$5:$J$8,4,0)&gt;=4,200,100),0)</f>
        <v>200</v>
      </c>
      <c r="D15" s="30"/>
      <c r="E15" s="30"/>
    </row>
    <row r="16" spans="2:5" ht="8" customHeight="1" x14ac:dyDescent="0.35"/>
    <row r="17" spans="2:5" ht="24" customHeight="1" x14ac:dyDescent="0.35">
      <c r="B17" s="31" t="s">
        <v>86</v>
      </c>
      <c r="C17" s="32">
        <f>C13+C14+C15</f>
        <v>6284.1875</v>
      </c>
      <c r="D17" s="33" t="s">
        <v>87</v>
      </c>
      <c r="E17" s="34">
        <f>E13+E14</f>
        <v>460.20000000000005</v>
      </c>
    </row>
    <row r="18" spans="2:5" ht="8" customHeight="1" x14ac:dyDescent="0.35"/>
    <row r="19" spans="2:5" ht="32" customHeight="1" x14ac:dyDescent="0.35">
      <c r="B19" s="59" t="str">
        <f>IFERROR("✅  NET SALARY PAYABLE:  ₹"&amp;TEXT(C17-E17,"#,##0.00"),"—")</f>
        <v>✅  NET SALARY PAYABLE:  ₹5,823.99</v>
      </c>
      <c r="C19" s="42"/>
      <c r="D19" s="42"/>
      <c r="E19" s="42"/>
    </row>
    <row r="20" spans="2:5" ht="8" customHeight="1" x14ac:dyDescent="0.35"/>
    <row r="21" spans="2:5" ht="20" customHeight="1" x14ac:dyDescent="0.35">
      <c r="B21" s="57" t="s">
        <v>88</v>
      </c>
      <c r="C21" s="42"/>
      <c r="D21" s="42"/>
      <c r="E21" s="42"/>
    </row>
    <row r="22" spans="2:5" ht="14" customHeight="1" x14ac:dyDescent="0.35">
      <c r="B22" s="51" t="s">
        <v>89</v>
      </c>
      <c r="C22" s="42"/>
      <c r="D22" s="42"/>
      <c r="E22" s="42"/>
    </row>
    <row r="23" spans="2:5" ht="18" customHeight="1" x14ac:dyDescent="0.35"/>
    <row r="24" spans="2:5" ht="18" customHeight="1" x14ac:dyDescent="0.35"/>
    <row r="25" spans="2:5" ht="18" customHeight="1" x14ac:dyDescent="0.35"/>
    <row r="26" spans="2:5" ht="18" customHeight="1" x14ac:dyDescent="0.35"/>
    <row r="27" spans="2:5" ht="18" customHeight="1" x14ac:dyDescent="0.35"/>
    <row r="28" spans="2:5" ht="18" customHeight="1" x14ac:dyDescent="0.35"/>
    <row r="29" spans="2:5" ht="18" customHeight="1" x14ac:dyDescent="0.35"/>
    <row r="30" spans="2:5" ht="18" customHeight="1" x14ac:dyDescent="0.35"/>
    <row r="31" spans="2:5" ht="18" customHeight="1" x14ac:dyDescent="0.35"/>
    <row r="32" spans="2:5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</sheetData>
  <mergeCells count="9">
    <mergeCell ref="B22:E22"/>
    <mergeCell ref="D12:E12"/>
    <mergeCell ref="B12:C12"/>
    <mergeCell ref="B2:C2"/>
    <mergeCell ref="B4:E4"/>
    <mergeCell ref="D2:E2"/>
    <mergeCell ref="B21:E21"/>
    <mergeCell ref="B5:E5"/>
    <mergeCell ref="B19:E19"/>
  </mergeCells>
  <dataValidations count="1">
    <dataValidation type="list" sqref="D2" xr:uid="{00000000-0002-0000-0200-000000000000}">
      <formula1>"E101 - Rahul Sharma,E102 - Priya Patel,E103 - Arun Kumar,E104 - Sneha Reddy"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Timesheet</vt:lpstr>
      <vt:lpstr>Payroll Calculator</vt:lpstr>
      <vt:lpstr>Salary Slip</vt:lpstr>
      <vt:lpstr>'Salary Slip'!Print_Area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Shetty</cp:lastModifiedBy>
  <cp:revision>0</cp:revision>
  <dcterms:created xsi:type="dcterms:W3CDTF">2026-05-19T14:01:59Z</dcterms:created>
  <dcterms:modified xsi:type="dcterms:W3CDTF">2026-06-11T14:43:51Z</dcterms:modified>
  <dc:language>en-US</dc:language>
</cp:coreProperties>
</file>